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Main Uni\Portfolio\3-course\SEM5\Сети\"/>
    </mc:Choice>
  </mc:AlternateContent>
  <xr:revisionPtr revIDLastSave="0" documentId="13_ncr:1_{461F9ACC-FE9D-4ECF-BD8B-9037FD94DB44}" xr6:coauthVersionLast="47" xr6:coauthVersionMax="47" xr10:uidLastSave="{00000000-0000-0000-0000-000000000000}"/>
  <bookViews>
    <workbookView xWindow="0" yWindow="0" windowWidth="14610" windowHeight="16200" xr2:uid="{864E9F6D-5945-4341-B1BF-4CC90C366FEF}"/>
  </bookViews>
  <sheets>
    <sheet name="Лист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9" i="1"/>
  <c r="G9" i="1"/>
  <c r="D5" i="1"/>
  <c r="G5" i="1"/>
  <c r="D3" i="1"/>
  <c r="G3" i="1" s="1"/>
  <c r="G7" i="1"/>
  <c r="D14" i="1"/>
  <c r="D13" i="1"/>
  <c r="C5" i="1"/>
</calcChain>
</file>

<file path=xl/sharedStrings.xml><?xml version="1.0" encoding="utf-8"?>
<sst xmlns="http://schemas.openxmlformats.org/spreadsheetml/2006/main" count="29" uniqueCount="27">
  <si>
    <t>Топология</t>
  </si>
  <si>
    <t>Связей</t>
  </si>
  <si>
    <t>Кабеля, м</t>
  </si>
  <si>
    <t>Оборудование</t>
  </si>
  <si>
    <t>Среда</t>
  </si>
  <si>
    <t>Стоимость, ₽</t>
  </si>
  <si>
    <t>Шина</t>
  </si>
  <si>
    <t>Полносвязная</t>
  </si>
  <si>
    <t>Звезда</t>
  </si>
  <si>
    <t>Дерево</t>
  </si>
  <si>
    <t>Позиция</t>
  </si>
  <si>
    <t>Цена</t>
  </si>
  <si>
    <t>Кабель UTP категории 5e</t>
  </si>
  <si>
    <t>45 ₽ за метр</t>
  </si>
  <si>
    <t>Коммутатор на 8 портов</t>
  </si>
  <si>
    <t>Коммутатор на 24 порта</t>
  </si>
  <si>
    <t>Дополнительная сетевая карта</t>
  </si>
  <si>
    <t>T-коннектор для шины</t>
  </si>
  <si>
    <t>Оборудование для полносвязной модели</t>
  </si>
  <si>
    <t>Портов на узле</t>
  </si>
  <si>
    <t xml:space="preserve">Сетевых карт </t>
  </si>
  <si>
    <t>общая</t>
  </si>
  <si>
    <t>Выделенная</t>
  </si>
  <si>
    <t>17 Т-Коннектооров</t>
  </si>
  <si>
    <t xml:space="preserve">255 карт </t>
  </si>
  <si>
    <t>1x24 порта</t>
  </si>
  <si>
    <t>1x24, 2x8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</si>
</sst>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₽&quot;;[Red]\-#,##0\ &quot;₽&quot;"/>
  </numFmts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.5"/>
      <color rgb="FF3B4B5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1F4F5"/>
        <bgColor indexed="64"/>
      </patternFill>
    </fill>
  </fills>
  <borders count="6">
    <border>
      <left/>
      <right/>
      <top/>
      <bottom/>
      <diagonal/>
    </border>
    <border>
      <left style="medium">
        <color rgb="FFBFCACE"/>
      </left>
      <right style="medium">
        <color rgb="FFBFCACE"/>
      </right>
      <top style="medium">
        <color rgb="FFBFCACE"/>
      </top>
      <bottom style="medium">
        <color rgb="FFBFCACE"/>
      </bottom>
      <diagonal/>
    </border>
    <border>
      <left/>
      <right style="medium">
        <color rgb="FFBFCACE"/>
      </right>
      <top style="medium">
        <color rgb="FFBFCACE"/>
      </top>
      <bottom style="medium">
        <color rgb="FFBFCACE"/>
      </bottom>
      <diagonal/>
    </border>
    <border>
      <left style="medium">
        <color rgb="FFBFCACE"/>
      </left>
      <right style="medium">
        <color rgb="FFBFCACE"/>
      </right>
      <top/>
      <bottom style="medium">
        <color rgb="FFBFCACE"/>
      </bottom>
      <diagonal/>
    </border>
    <border>
      <left/>
      <right style="medium">
        <color rgb="FFBFCACE"/>
      </right>
      <top/>
      <bottom style="medium">
        <color rgb="FFBFCACE"/>
      </bottom>
      <diagonal/>
    </border>
    <border>
      <left style="medium">
        <color rgb="FFBFCACE"/>
      </left>
      <right style="medium">
        <color rgb="FFBFCACE"/>
      </right>
      <top style="medium">
        <color rgb="FFBFCACE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6" fontId="3" fillId="0" borderId="4" xfId="0" applyNumberFormat="1" applyFont="1" applyBorder="1" applyAlignment="1">
      <alignment horizontal="center" vertical="center" wrapText="1"/>
    </xf>
    <xf numFmtId="6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E3AB0-6704-42C2-8765-3F89A9157972}">
  <dimension ref="B1:J14"/>
  <sheetViews>
    <sheetView tabSelected="1" workbookViewId="0">
      <selection activeCell="H21" sqref="H21"/>
    </sheetView>
  </sheetViews>
  <sheetFormatPr defaultRowHeight="15" x14ac:dyDescent="0.25"/>
  <cols>
    <col min="9" max="9" width="23.28515625" bestFit="1" customWidth="1"/>
    <col min="10" max="10" width="7.42578125" customWidth="1"/>
  </cols>
  <sheetData>
    <row r="1" spans="2:10" ht="15.75" thickBot="1" x14ac:dyDescent="0.3"/>
    <row r="2" spans="2:10" ht="23.25" thickBot="1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I2" s="1" t="s">
        <v>10</v>
      </c>
      <c r="J2" s="2" t="s">
        <v>11</v>
      </c>
    </row>
    <row r="3" spans="2:10" ht="24.75" thickBot="1" x14ac:dyDescent="0.3">
      <c r="B3" s="8" t="s">
        <v>6</v>
      </c>
      <c r="C3" s="10">
        <v>17</v>
      </c>
      <c r="D3" s="10">
        <f>70+(7+4+7)*2+3*17</f>
        <v>157</v>
      </c>
      <c r="E3" s="10" t="s">
        <v>23</v>
      </c>
      <c r="F3" s="10" t="s">
        <v>21</v>
      </c>
      <c r="G3" s="6">
        <f>D3*45+17*J7</f>
        <v>11315</v>
      </c>
      <c r="I3" s="3" t="s">
        <v>12</v>
      </c>
      <c r="J3" s="4" t="s">
        <v>13</v>
      </c>
    </row>
    <row r="4" spans="2:10" ht="15.75" thickBot="1" x14ac:dyDescent="0.3">
      <c r="B4" s="9"/>
      <c r="C4" s="7"/>
      <c r="D4" s="7"/>
      <c r="E4" s="7"/>
      <c r="F4" s="7"/>
      <c r="G4" s="7"/>
      <c r="I4" s="3" t="s">
        <v>14</v>
      </c>
      <c r="J4" s="5">
        <v>5500</v>
      </c>
    </row>
    <row r="5" spans="2:10" ht="15.75" thickBot="1" x14ac:dyDescent="0.3">
      <c r="B5" s="8" t="s">
        <v>7</v>
      </c>
      <c r="C5" s="10">
        <f>17*(17-1)/2</f>
        <v>136</v>
      </c>
      <c r="D5" s="10">
        <f>136*32</f>
        <v>4352</v>
      </c>
      <c r="E5" s="10" t="s">
        <v>24</v>
      </c>
      <c r="F5" s="10" t="s">
        <v>22</v>
      </c>
      <c r="G5" s="6">
        <f>D5*45+255*J6</f>
        <v>425340</v>
      </c>
      <c r="I5" s="3" t="s">
        <v>15</v>
      </c>
      <c r="J5" s="5">
        <v>9000</v>
      </c>
    </row>
    <row r="6" spans="2:10" ht="24.75" thickBot="1" x14ac:dyDescent="0.3">
      <c r="B6" s="9"/>
      <c r="C6" s="7"/>
      <c r="D6" s="7"/>
      <c r="E6" s="7"/>
      <c r="F6" s="7"/>
      <c r="G6" s="7"/>
      <c r="I6" s="3" t="s">
        <v>16</v>
      </c>
      <c r="J6" s="5">
        <v>900</v>
      </c>
    </row>
    <row r="7" spans="2:10" ht="15.75" thickBot="1" x14ac:dyDescent="0.3">
      <c r="B7" s="8" t="s">
        <v>8</v>
      </c>
      <c r="C7" s="10">
        <v>17</v>
      </c>
      <c r="D7" s="10">
        <f>((1+10.5+1)+(1+5.5+1)+(2+1+1)+(1+9.5+1)+(1+3.5+1)+(1+1)+(2.5+7+5.5+1)+(1.5+7+5.5+1)+(1+4+14+5.5+1)+(1+2+14+5.5+1)+(1+5.5+14+5.5+1)+(1+5+14+5.5+1)+(1+14+5.5+1)+(2+4.5+14+5.5+1)+(0+4+5.5+1)+(0+3+1)+(0+1.5+14+5.5+1))*2+3*17</f>
        <v>574</v>
      </c>
      <c r="E7" s="10" t="s">
        <v>25</v>
      </c>
      <c r="F7" s="10" t="s">
        <v>22</v>
      </c>
      <c r="G7" s="6">
        <f>D7*45+J5</f>
        <v>34830</v>
      </c>
      <c r="I7" s="3" t="s">
        <v>17</v>
      </c>
      <c r="J7" s="5">
        <v>250</v>
      </c>
    </row>
    <row r="8" spans="2:10" ht="15.75" thickBot="1" x14ac:dyDescent="0.3">
      <c r="B8" s="9"/>
      <c r="C8" s="7"/>
      <c r="D8" s="7"/>
      <c r="E8" s="7"/>
      <c r="F8" s="7"/>
      <c r="G8" s="7"/>
    </row>
    <row r="9" spans="2:10" x14ac:dyDescent="0.25">
      <c r="B9" s="8" t="s">
        <v>9</v>
      </c>
      <c r="C9" s="10">
        <v>19</v>
      </c>
      <c r="D9" s="10">
        <f>((1+5)+(1)+(2+4.5)+(1+4)+(1+2)+(1+5.5)+(2.5+7)+(1.5+7)+(4)+(2.5))*2+((1+6.5)+(1+0.5)+(1+3)+(1+7.5)+(1+2.5)+(2+2)+(4))*2+((5.5+1)+(2.5+14+5.5+1))*2+3*19</f>
        <v>287</v>
      </c>
      <c r="E9" s="10" t="s">
        <v>26</v>
      </c>
      <c r="F9" s="10" t="s">
        <v>22</v>
      </c>
      <c r="G9" s="6">
        <f>D9*45+2*J4+J5</f>
        <v>32915</v>
      </c>
    </row>
    <row r="10" spans="2:10" ht="15.75" thickBot="1" x14ac:dyDescent="0.3">
      <c r="B10" s="9"/>
      <c r="C10" s="7"/>
      <c r="D10" s="7"/>
      <c r="E10" s="7"/>
      <c r="F10" s="7"/>
      <c r="G10" s="7"/>
    </row>
    <row r="12" spans="2:10" x14ac:dyDescent="0.25">
      <c r="B12" t="s">
        <v>18</v>
      </c>
    </row>
    <row r="13" spans="2:10" x14ac:dyDescent="0.25">
      <c r="B13" t="s">
        <v>19</v>
      </c>
      <c r="D13">
        <f>17-1</f>
        <v>16</v>
      </c>
    </row>
    <row r="14" spans="2:10" x14ac:dyDescent="0.25">
      <c r="B14" t="s">
        <v>20</v>
      </c>
      <c r="D14">
        <f>17*(17-2)</f>
        <v>255</v>
      </c>
    </row>
  </sheetData>
  <mergeCells count="24">
    <mergeCell ref="G7:G8"/>
    <mergeCell ref="B9:B10"/>
    <mergeCell ref="C9:C10"/>
    <mergeCell ref="D9:D10"/>
    <mergeCell ref="E9:E10"/>
    <mergeCell ref="F9:F10"/>
    <mergeCell ref="G9:G10"/>
    <mergeCell ref="B7:B8"/>
    <mergeCell ref="C7:C8"/>
    <mergeCell ref="D7:D8"/>
    <mergeCell ref="E7:E8"/>
    <mergeCell ref="F7:F8"/>
    <mergeCell ref="G3:G4"/>
    <mergeCell ref="B5:B6"/>
    <mergeCell ref="C5:C6"/>
    <mergeCell ref="D5:D6"/>
    <mergeCell ref="E5:E6"/>
    <mergeCell ref="F5:F6"/>
    <mergeCell ref="G5:G6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Frolov</cp:lastModifiedBy>
  <dcterms:created xsi:type="dcterms:W3CDTF">2026-09-08T09:18:04Z</dcterms:created>
  <dcterms:modified xsi:type="dcterms:W3CDTF">2026-09-17T09:17:25Z</dcterms:modified>
</cp:coreProperties>
</file>