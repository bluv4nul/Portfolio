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Uni\Portfolio\"/>
    </mc:Choice>
  </mc:AlternateContent>
  <xr:revisionPtr revIDLastSave="0" documentId="13_ncr:1_{2538CD00-7526-44D4-A667-0B930A5C2678}" xr6:coauthVersionLast="47" xr6:coauthVersionMax="47" xr10:uidLastSave="{00000000-0000-0000-0000-000000000000}"/>
  <bookViews>
    <workbookView xWindow="-108" yWindow="-108" windowWidth="23256" windowHeight="13176" activeTab="4" xr2:uid="{8EA15F8B-5F10-4A25-B920-A09C61AB86B4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5" l="1"/>
  <c r="C20" i="4"/>
  <c r="C10" i="4"/>
  <c r="C14" i="3"/>
  <c r="C10" i="3"/>
  <c r="C9" i="2"/>
  <c r="G10" i="1"/>
  <c r="F3" i="1"/>
</calcChain>
</file>

<file path=xl/sharedStrings.xml><?xml version="1.0" encoding="utf-8"?>
<sst xmlns="http://schemas.openxmlformats.org/spreadsheetml/2006/main" count="45" uniqueCount="31">
  <si>
    <t>Дано</t>
  </si>
  <si>
    <t>x_ср</t>
  </si>
  <si>
    <t>S^2</t>
  </si>
  <si>
    <t>S</t>
  </si>
  <si>
    <t>N</t>
  </si>
  <si>
    <t>p</t>
  </si>
  <si>
    <t>2Ф</t>
  </si>
  <si>
    <t>Ф</t>
  </si>
  <si>
    <t>Ищем значение</t>
  </si>
  <si>
    <t>t</t>
  </si>
  <si>
    <t>dt</t>
  </si>
  <si>
    <t>16,8 +- 0,2</t>
  </si>
  <si>
    <t>n</t>
  </si>
  <si>
    <t>x_ср, см</t>
  </si>
  <si>
    <t xml:space="preserve">dt </t>
  </si>
  <si>
    <t>n&lt;30</t>
  </si>
  <si>
    <t>t_11</t>
  </si>
  <si>
    <t>w</t>
  </si>
  <si>
    <t>делаем вывод -&gt;</t>
  </si>
  <si>
    <t>Ф(1,77)</t>
  </si>
  <si>
    <t>.</t>
  </si>
  <si>
    <t>P(...)</t>
  </si>
  <si>
    <t>Случайная бесповторная</t>
  </si>
  <si>
    <t>X_avg</t>
  </si>
  <si>
    <t>a</t>
  </si>
  <si>
    <t>Ф(t)</t>
  </si>
  <si>
    <t>1450-13</t>
  </si>
  <si>
    <t>&lt;</t>
  </si>
  <si>
    <t>1450+13</t>
  </si>
  <si>
    <t>alph</t>
  </si>
  <si>
    <t>x_avg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</si>
</sst>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164" fontId="0" fillId="0" borderId="0" xfId="0" applyNumberForma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8</xdr:row>
      <xdr:rowOff>7620</xdr:rowOff>
    </xdr:from>
    <xdr:to>
      <xdr:col>4</xdr:col>
      <xdr:colOff>204121</xdr:colOff>
      <xdr:row>14</xdr:row>
      <xdr:rowOff>167815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635F37-A448-4529-8CB4-AB0204A1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493520"/>
          <a:ext cx="2048161" cy="1257475"/>
        </a:xfrm>
        <a:prstGeom prst="rect">
          <a:avLst/>
        </a:prstGeom>
      </xdr:spPr>
    </xdr:pic>
    <xdr:clientData/>
  </xdr:twoCellAnchor>
  <xdr:twoCellAnchor editAs="oneCell">
    <xdr:from>
      <xdr:col>6</xdr:col>
      <xdr:colOff>160020</xdr:colOff>
      <xdr:row>2</xdr:row>
      <xdr:rowOff>45720</xdr:rowOff>
    </xdr:from>
    <xdr:to>
      <xdr:col>7</xdr:col>
      <xdr:colOff>436369</xdr:colOff>
      <xdr:row>3</xdr:row>
      <xdr:rowOff>177209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D5FF425-9E78-41B7-B71F-4E52C3C5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7620" y="419100"/>
          <a:ext cx="885949" cy="314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541020</xdr:colOff>
      <xdr:row>1</xdr:row>
      <xdr:rowOff>0</xdr:rowOff>
    </xdr:from>
    <xdr:to>
      <xdr:col>7</xdr:col>
      <xdr:colOff>169833</xdr:colOff>
      <xdr:row>8</xdr:row>
      <xdr:rowOff>110684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0FCEDD-1AD8-4206-B523-1E8D9AE14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9820" y="190500"/>
          <a:ext cx="2067213" cy="13908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182880</xdr:rowOff>
    </xdr:from>
    <xdr:to>
      <xdr:col>15</xdr:col>
      <xdr:colOff>515017</xdr:colOff>
      <xdr:row>24</xdr:row>
      <xdr:rowOff>36789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3266EDA-E895-4E5F-8B3E-D4BC0E72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182880"/>
          <a:ext cx="4782217" cy="42582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434340</xdr:colOff>
      <xdr:row>0</xdr:row>
      <xdr:rowOff>160020</xdr:rowOff>
    </xdr:from>
    <xdr:to>
      <xdr:col>8</xdr:col>
      <xdr:colOff>606154</xdr:colOff>
      <xdr:row>6</xdr:row>
      <xdr:rowOff>148742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2584E3-E930-48BD-9B81-350B77172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2740" y="160020"/>
          <a:ext cx="2610214" cy="1086002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1</xdr:row>
      <xdr:rowOff>30480</xdr:rowOff>
    </xdr:from>
    <xdr:to>
      <xdr:col>15</xdr:col>
      <xdr:colOff>383295</xdr:colOff>
      <xdr:row>6</xdr:row>
      <xdr:rowOff>78239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5F4481-9632-4445-B041-4EAA7B1E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6080" y="213360"/>
          <a:ext cx="2791215" cy="962159"/>
        </a:xfrm>
        <a:prstGeom prst="rect">
          <a:avLst/>
        </a:prstGeom>
      </xdr:spPr>
    </xdr:pic>
    <xdr:clientData/>
  </xdr:twoCellAnchor>
  <xdr:twoCellAnchor editAs="oneCell">
    <xdr:from>
      <xdr:col>4</xdr:col>
      <xdr:colOff>563880</xdr:colOff>
      <xdr:row>7</xdr:row>
      <xdr:rowOff>129540</xdr:rowOff>
    </xdr:from>
    <xdr:to>
      <xdr:col>15</xdr:col>
      <xdr:colOff>21815</xdr:colOff>
      <xdr:row>12</xdr:row>
      <xdr:rowOff>148720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48C4431-C0AA-4EB0-98FD-F480E1587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70860" y="1409700"/>
          <a:ext cx="6163535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11</xdr:row>
      <xdr:rowOff>15240</xdr:rowOff>
    </xdr:from>
    <xdr:to>
      <xdr:col>2</xdr:col>
      <xdr:colOff>573534</xdr:colOff>
      <xdr:row>11</xdr:row>
      <xdr:rowOff>177188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F8D30F9-DF9B-4E68-9BE9-3BF7471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" y="2026920"/>
          <a:ext cx="924054" cy="161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7</xdr:row>
      <xdr:rowOff>106680</xdr:rowOff>
    </xdr:from>
    <xdr:to>
      <xdr:col>6</xdr:col>
      <xdr:colOff>522270</xdr:colOff>
      <xdr:row>11</xdr:row>
      <xdr:rowOff>70582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AAA58DB-8D5C-4FCE-A2F1-0679ADD8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1402080"/>
          <a:ext cx="2152950" cy="6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12</xdr:row>
      <xdr:rowOff>53340</xdr:rowOff>
    </xdr:from>
    <xdr:to>
      <xdr:col>3</xdr:col>
      <xdr:colOff>278335</xdr:colOff>
      <xdr:row>17</xdr:row>
      <xdr:rowOff>5836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4EAD51C-8263-4421-991B-9D871A0E7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" y="2263140"/>
          <a:ext cx="1467055" cy="86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6DF-68BB-4769-B4A2-52751480BB38}">
  <dimension ref="B1:G12"/>
  <sheetViews>
    <sheetView workbookViewId="0">
      <selection activeCell="F14" sqref="F14"/>
    </sheetView>
  </sheetViews>
  <sheetFormatPr defaultRowHeight="14.4" x14ac:dyDescent="0.3"/>
  <sheetData>
    <row r="1" spans="2:7" ht="15" thickBot="1" x14ac:dyDescent="0.35"/>
    <row r="2" spans="2:7" x14ac:dyDescent="0.3">
      <c r="B2" s="13" t="s">
        <v>0</v>
      </c>
      <c r="C2" s="14"/>
      <c r="E2" s="9" t="s">
        <v>6</v>
      </c>
      <c r="F2" s="10">
        <v>0.98799999999999999</v>
      </c>
    </row>
    <row r="3" spans="2:7" x14ac:dyDescent="0.3">
      <c r="B3" s="5" t="s">
        <v>4</v>
      </c>
      <c r="C3" s="6">
        <v>626</v>
      </c>
      <c r="E3" s="1" t="s">
        <v>7</v>
      </c>
      <c r="F3" s="2">
        <f>F2/2</f>
        <v>0.49399999999999999</v>
      </c>
    </row>
    <row r="4" spans="2:7" x14ac:dyDescent="0.3">
      <c r="B4" s="5" t="s">
        <v>1</v>
      </c>
      <c r="C4" s="6">
        <v>16.8</v>
      </c>
      <c r="E4" s="15" t="s">
        <v>8</v>
      </c>
      <c r="F4" s="16"/>
    </row>
    <row r="5" spans="2:7" ht="15" thickBot="1" x14ac:dyDescent="0.35">
      <c r="B5" s="5" t="s">
        <v>2</v>
      </c>
      <c r="C5" s="6">
        <v>4</v>
      </c>
      <c r="E5" s="3" t="s">
        <v>9</v>
      </c>
      <c r="F5" s="4">
        <v>2.5</v>
      </c>
    </row>
    <row r="6" spans="2:7" x14ac:dyDescent="0.3">
      <c r="B6" s="5" t="s">
        <v>3</v>
      </c>
      <c r="C6" s="6">
        <v>2</v>
      </c>
    </row>
    <row r="7" spans="2:7" ht="15" thickBot="1" x14ac:dyDescent="0.35">
      <c r="B7" s="7" t="s">
        <v>5</v>
      </c>
      <c r="C7" s="8">
        <v>0.98799999999999999</v>
      </c>
    </row>
    <row r="10" spans="2:7" x14ac:dyDescent="0.3">
      <c r="F10" t="s">
        <v>10</v>
      </c>
      <c r="G10" s="11">
        <f>F5*C6/SQRT(C3)</f>
        <v>0.19984019174435788</v>
      </c>
    </row>
    <row r="12" spans="2:7" x14ac:dyDescent="0.3">
      <c r="F12" t="s">
        <v>1</v>
      </c>
      <c r="G12" t="s">
        <v>11</v>
      </c>
    </row>
  </sheetData>
  <mergeCells count="2">
    <mergeCell ref="B2:C2"/>
    <mergeCell ref="E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85A6-5FE3-442F-A521-922B0AB22645}">
  <dimension ref="B1:C9"/>
  <sheetViews>
    <sheetView workbookViewId="0">
      <selection activeCell="Q15" sqref="Q15"/>
    </sheetView>
  </sheetViews>
  <sheetFormatPr defaultRowHeight="14.4" x14ac:dyDescent="0.3"/>
  <sheetData>
    <row r="1" spans="2:3" ht="15" thickBot="1" x14ac:dyDescent="0.35"/>
    <row r="2" spans="2:3" x14ac:dyDescent="0.3">
      <c r="B2" s="13" t="s">
        <v>0</v>
      </c>
      <c r="C2" s="14"/>
    </row>
    <row r="3" spans="2:3" x14ac:dyDescent="0.3">
      <c r="B3" s="1" t="s">
        <v>12</v>
      </c>
      <c r="C3" s="2">
        <v>12</v>
      </c>
    </row>
    <row r="4" spans="2:3" x14ac:dyDescent="0.3">
      <c r="B4" s="15" t="s">
        <v>15</v>
      </c>
      <c r="C4" s="16"/>
    </row>
    <row r="5" spans="2:3" x14ac:dyDescent="0.3">
      <c r="B5" s="1" t="s">
        <v>13</v>
      </c>
      <c r="C5" s="2">
        <v>10</v>
      </c>
    </row>
    <row r="6" spans="2:3" x14ac:dyDescent="0.3">
      <c r="B6" s="1" t="s">
        <v>5</v>
      </c>
      <c r="C6" s="2">
        <v>0.6</v>
      </c>
    </row>
    <row r="7" spans="2:3" x14ac:dyDescent="0.3">
      <c r="B7" s="1" t="s">
        <v>16</v>
      </c>
      <c r="C7" s="2">
        <v>0.88</v>
      </c>
    </row>
    <row r="8" spans="2:3" x14ac:dyDescent="0.3">
      <c r="B8" s="1"/>
      <c r="C8" s="2"/>
    </row>
    <row r="9" spans="2:3" ht="15" thickBot="1" x14ac:dyDescent="0.35">
      <c r="B9" s="3" t="s">
        <v>14</v>
      </c>
      <c r="C9" s="4">
        <f>C7*C5/SQRT(C3)</f>
        <v>2.5403411844343537</v>
      </c>
    </row>
  </sheetData>
  <mergeCells count="2">
    <mergeCell ref="B2:C2"/>
    <mergeCell ref="B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C389-8D2A-4917-977B-64AA61D0A52B}">
  <dimension ref="A2:K14"/>
  <sheetViews>
    <sheetView workbookViewId="0">
      <selection activeCell="K24" sqref="K24"/>
    </sheetView>
  </sheetViews>
  <sheetFormatPr defaultRowHeight="14.4" x14ac:dyDescent="0.3"/>
  <cols>
    <col min="3" max="3" width="9.88671875" bestFit="1" customWidth="1"/>
  </cols>
  <sheetData>
    <row r="2" spans="1:11" x14ac:dyDescent="0.3">
      <c r="B2" t="s">
        <v>12</v>
      </c>
      <c r="C2">
        <v>1000</v>
      </c>
    </row>
    <row r="3" spans="1:11" x14ac:dyDescent="0.3">
      <c r="B3" t="s">
        <v>17</v>
      </c>
      <c r="C3">
        <v>0.15</v>
      </c>
    </row>
    <row r="4" spans="1:11" x14ac:dyDescent="0.3">
      <c r="B4" t="s">
        <v>10</v>
      </c>
      <c r="C4">
        <v>0.02</v>
      </c>
      <c r="J4" s="17" t="s">
        <v>18</v>
      </c>
      <c r="K4" s="17"/>
    </row>
    <row r="10" spans="1:11" x14ac:dyDescent="0.3">
      <c r="B10" t="s">
        <v>9</v>
      </c>
      <c r="C10" s="18">
        <f>C4*SQRT(C2/(C3*(1-C3)))</f>
        <v>1.7712297710801905</v>
      </c>
    </row>
    <row r="13" spans="1:11" x14ac:dyDescent="0.3">
      <c r="B13" s="12" t="s">
        <v>19</v>
      </c>
      <c r="C13" s="12">
        <v>0.46160000000000001</v>
      </c>
      <c r="D13" s="12"/>
      <c r="E13" s="12"/>
    </row>
    <row r="14" spans="1:11" x14ac:dyDescent="0.3">
      <c r="A14" t="s">
        <v>20</v>
      </c>
      <c r="B14" t="s">
        <v>21</v>
      </c>
      <c r="C14">
        <f>C13*2</f>
        <v>0.92320000000000002</v>
      </c>
    </row>
  </sheetData>
  <mergeCells count="1">
    <mergeCell ref="J4:K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3BAE-561F-4670-BD4B-1478C892063C}">
  <dimension ref="B1:G22"/>
  <sheetViews>
    <sheetView workbookViewId="0">
      <selection activeCell="J19" sqref="J19"/>
    </sheetView>
  </sheetViews>
  <sheetFormatPr defaultRowHeight="14.4" x14ac:dyDescent="0.3"/>
  <sheetData>
    <row r="1" spans="2:7" ht="15" thickBot="1" x14ac:dyDescent="0.35"/>
    <row r="2" spans="2:7" x14ac:dyDescent="0.3">
      <c r="B2" s="9" t="s">
        <v>4</v>
      </c>
      <c r="C2" s="19">
        <v>5000</v>
      </c>
      <c r="D2" s="19"/>
      <c r="E2" s="19"/>
      <c r="F2" s="19"/>
      <c r="G2" s="10"/>
    </row>
    <row r="3" spans="2:7" x14ac:dyDescent="0.3">
      <c r="B3" s="1" t="s">
        <v>12</v>
      </c>
      <c r="C3" s="20">
        <v>300</v>
      </c>
      <c r="D3" s="20"/>
      <c r="E3" s="21" t="s">
        <v>22</v>
      </c>
      <c r="F3" s="21"/>
      <c r="G3" s="16"/>
    </row>
    <row r="4" spans="2:7" x14ac:dyDescent="0.3">
      <c r="B4" s="1"/>
      <c r="C4" s="20"/>
      <c r="D4" s="20"/>
      <c r="E4" s="20"/>
      <c r="F4" s="20"/>
      <c r="G4" s="2"/>
    </row>
    <row r="5" spans="2:7" x14ac:dyDescent="0.3">
      <c r="B5" s="1" t="s">
        <v>2</v>
      </c>
      <c r="C5" s="20">
        <v>4000</v>
      </c>
      <c r="D5" s="20"/>
      <c r="E5" s="20"/>
      <c r="F5" s="20"/>
      <c r="G5" s="2"/>
    </row>
    <row r="6" spans="2:7" x14ac:dyDescent="0.3">
      <c r="B6" s="1" t="s">
        <v>23</v>
      </c>
      <c r="C6" s="20">
        <v>1450</v>
      </c>
      <c r="D6" s="20"/>
      <c r="E6" s="20"/>
      <c r="F6" s="20"/>
      <c r="G6" s="2"/>
    </row>
    <row r="7" spans="2:7" ht="15" thickBot="1" x14ac:dyDescent="0.35">
      <c r="B7" s="3" t="s">
        <v>24</v>
      </c>
      <c r="C7" s="22">
        <v>0.99960000000000004</v>
      </c>
      <c r="D7" s="22"/>
      <c r="E7" s="22"/>
      <c r="F7" s="22"/>
      <c r="G7" s="4"/>
    </row>
    <row r="10" spans="2:7" x14ac:dyDescent="0.3">
      <c r="B10" t="s">
        <v>25</v>
      </c>
      <c r="C10" s="20">
        <f>C7/2</f>
        <v>0.49980000000000002</v>
      </c>
    </row>
    <row r="11" spans="2:7" x14ac:dyDescent="0.3">
      <c r="B11" t="s">
        <v>9</v>
      </c>
      <c r="C11">
        <v>3.57</v>
      </c>
    </row>
    <row r="20" spans="2:6" x14ac:dyDescent="0.3">
      <c r="B20" t="s">
        <v>10</v>
      </c>
      <c r="C20" s="23">
        <f>C11*SQRT((C5/C3)*(1-C3/C2))</f>
        <v>12.638673981078869</v>
      </c>
    </row>
    <row r="21" spans="2:6" ht="15" thickBot="1" x14ac:dyDescent="0.35">
      <c r="B21" s="24"/>
      <c r="C21" s="24"/>
      <c r="D21" s="24"/>
      <c r="E21" s="24"/>
      <c r="F21" s="24"/>
    </row>
    <row r="22" spans="2:6" ht="15" thickBot="1" x14ac:dyDescent="0.35">
      <c r="B22" s="25" t="s">
        <v>26</v>
      </c>
      <c r="C22" s="26" t="s">
        <v>27</v>
      </c>
      <c r="D22" s="26">
        <v>1450</v>
      </c>
      <c r="E22" s="26" t="s">
        <v>27</v>
      </c>
      <c r="F22" s="27" t="s">
        <v>28</v>
      </c>
    </row>
  </sheetData>
  <mergeCells count="1">
    <mergeCell ref="E3:G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158A-84D4-42B3-AA95-6F70567CEF1F}">
  <dimension ref="B1:I7"/>
  <sheetViews>
    <sheetView tabSelected="1" workbookViewId="0">
      <selection activeCell="C7" sqref="C7"/>
    </sheetView>
  </sheetViews>
  <sheetFormatPr defaultRowHeight="14.4" x14ac:dyDescent="0.3"/>
  <sheetData>
    <row r="1" spans="2:9" ht="15" thickBot="1" x14ac:dyDescent="0.35"/>
    <row r="2" spans="2:9" x14ac:dyDescent="0.3">
      <c r="B2" s="9" t="s">
        <v>4</v>
      </c>
      <c r="C2" s="10">
        <v>70</v>
      </c>
      <c r="E2" s="28">
        <v>125</v>
      </c>
      <c r="F2" s="29">
        <v>78</v>
      </c>
      <c r="G2" s="29">
        <v>102</v>
      </c>
      <c r="H2" s="29">
        <v>140</v>
      </c>
      <c r="I2" s="30">
        <v>90</v>
      </c>
    </row>
    <row r="3" spans="2:9" ht="15" thickBot="1" x14ac:dyDescent="0.35">
      <c r="B3" s="1" t="s">
        <v>12</v>
      </c>
      <c r="C3" s="2">
        <v>10</v>
      </c>
      <c r="E3" s="31">
        <v>45</v>
      </c>
      <c r="F3" s="32">
        <v>50</v>
      </c>
      <c r="G3" s="32">
        <v>125</v>
      </c>
      <c r="H3" s="32">
        <v>115</v>
      </c>
      <c r="I3" s="33">
        <v>112</v>
      </c>
    </row>
    <row r="4" spans="2:9" ht="15" thickBot="1" x14ac:dyDescent="0.35">
      <c r="B4" s="3" t="s">
        <v>29</v>
      </c>
      <c r="C4" s="4">
        <v>0.95</v>
      </c>
    </row>
    <row r="7" spans="2:9" x14ac:dyDescent="0.3">
      <c r="B7" t="s">
        <v>30</v>
      </c>
      <c r="C7">
        <f>SQRT(_xlfn.VAR.S(E2:I3))</f>
        <v>32.144811228079867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Froliv</cp:lastModifiedBy>
  <dcterms:created xsi:type="dcterms:W3CDTF">2026-02-11T08:46:09Z</dcterms:created>
  <dcterms:modified xsi:type="dcterms:W3CDTF">2026-02-17T13:27:03Z</dcterms:modified>
</cp:coreProperties>
</file>