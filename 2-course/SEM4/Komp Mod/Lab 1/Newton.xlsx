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tudy\Main Uni\Portfolio\2-course\SEM4\Komp Mod\"/>
    </mc:Choice>
  </mc:AlternateContent>
  <xr:revisionPtr revIDLastSave="0" documentId="13_ncr:1_{3DD8D3C0-D0AC-4DCB-8C86-78B80A3EF904}" xr6:coauthVersionLast="47" xr6:coauthVersionMax="47" xr10:uidLastSave="{00000000-0000-0000-0000-000000000000}"/>
  <bookViews>
    <workbookView xWindow="-105" yWindow="0" windowWidth="14610" windowHeight="16305" activeTab="1" xr2:uid="{00000000-000D-0000-FFFF-FFFF00000000}"/>
  </bookViews>
  <sheets>
    <sheet name="Равностоящие" sheetId="1" r:id="rId1"/>
    <sheet name="Неравностоящи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3" i="2"/>
  <c r="F6" i="2"/>
  <c r="F3" i="2"/>
  <c r="E5" i="2"/>
  <c r="E6" i="2"/>
  <c r="E7" i="2"/>
  <c r="E4" i="2"/>
  <c r="E3" i="2"/>
  <c r="D6" i="2"/>
  <c r="D5" i="2"/>
  <c r="D4" i="2"/>
  <c r="D3" i="2"/>
  <c r="D21" i="1"/>
  <c r="B12" i="1"/>
  <c r="D12" i="1" s="1"/>
  <c r="B21" i="1"/>
  <c r="E4" i="1"/>
  <c r="E5" i="1"/>
  <c r="F4" i="1" s="1"/>
  <c r="E6" i="1"/>
  <c r="F5" i="1" s="1"/>
  <c r="E7" i="1"/>
  <c r="F6" i="1" s="1"/>
  <c r="G5" i="1" s="1"/>
  <c r="E3" i="1"/>
  <c r="F4" i="2" l="1"/>
  <c r="F3" i="1"/>
  <c r="G4" i="1"/>
  <c r="F5" i="2" l="1"/>
  <c r="G3" i="1"/>
</calcChain>
</file>

<file path=xl/sharedStrings.xml><?xml version="1.0" encoding="utf-8"?>
<sst xmlns="http://schemas.openxmlformats.org/spreadsheetml/2006/main" count="20" uniqueCount="13">
  <si>
    <t>dt 1 y</t>
  </si>
  <si>
    <t>x</t>
  </si>
  <si>
    <t>y</t>
  </si>
  <si>
    <t>dt 2 y</t>
  </si>
  <si>
    <t>dt 3 y</t>
  </si>
  <si>
    <t>q</t>
  </si>
  <si>
    <t>y(0,138)</t>
  </si>
  <si>
    <t>Для конца таблицы</t>
  </si>
  <si>
    <t>Для начала таблицы</t>
  </si>
  <si>
    <t>y(0,118)</t>
  </si>
  <si>
    <t>f(x_i,x_i+1)</t>
  </si>
  <si>
    <t>f(x_i,x_i+1,x_i+2)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</si>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</sst>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7" formatCode="0.00000"/>
    <numFmt numFmtId="168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/>
    <xf numFmtId="167" fontId="0" fillId="0" borderId="0" xfId="0" applyNumberFormat="1" applyFont="1"/>
    <xf numFmtId="165" fontId="0" fillId="0" borderId="0" xfId="0" applyNumberFormat="1" applyFont="1"/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12</xdr:row>
      <xdr:rowOff>38100</xdr:rowOff>
    </xdr:from>
    <xdr:to>
      <xdr:col>10</xdr:col>
      <xdr:colOff>181762</xdr:colOff>
      <xdr:row>17</xdr:row>
      <xdr:rowOff>47759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9D37AB5-0E34-024F-CDF6-65449B438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2438400"/>
          <a:ext cx="5639587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0</xdr:rowOff>
    </xdr:from>
    <xdr:to>
      <xdr:col>10</xdr:col>
      <xdr:colOff>362760</xdr:colOff>
      <xdr:row>26</xdr:row>
      <xdr:rowOff>57264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B56A18A-7918-F56E-2749-07F9BDD31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" y="4191000"/>
          <a:ext cx="5801535" cy="819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10</xdr:row>
      <xdr:rowOff>133350</xdr:rowOff>
    </xdr:from>
    <xdr:to>
      <xdr:col>10</xdr:col>
      <xdr:colOff>95979</xdr:colOff>
      <xdr:row>17</xdr:row>
      <xdr:rowOff>95431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DAD7F28-809F-72EF-DEF9-48601A94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2038350"/>
          <a:ext cx="5220429" cy="1295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1"/>
  <sheetViews>
    <sheetView workbookViewId="0">
      <selection activeCell="H31" sqref="H31"/>
    </sheetView>
  </sheetViews>
  <sheetFormatPr defaultRowHeight="15" x14ac:dyDescent="0.25"/>
  <cols>
    <col min="1" max="16384" width="9.140625" style="7"/>
  </cols>
  <sheetData>
    <row r="2" spans="2:11" x14ac:dyDescent="0.25">
      <c r="B2" s="2" t="s">
        <v>1</v>
      </c>
      <c r="C2" s="2" t="s">
        <v>2</v>
      </c>
      <c r="E2" s="7" t="s">
        <v>0</v>
      </c>
      <c r="F2" s="7" t="s">
        <v>3</v>
      </c>
      <c r="G2" s="7" t="s">
        <v>4</v>
      </c>
      <c r="J2" s="2"/>
    </row>
    <row r="3" spans="2:11" x14ac:dyDescent="0.25">
      <c r="B3" s="3">
        <v>0.115</v>
      </c>
      <c r="C3" s="4">
        <v>8.6572899999999997</v>
      </c>
      <c r="E3" s="8">
        <f>C4-C3</f>
        <v>-0.36399999999999899</v>
      </c>
      <c r="F3" s="8">
        <f>E4-E3</f>
        <v>2.8999999999998138E-2</v>
      </c>
      <c r="G3" s="8">
        <f>F4-F3</f>
        <v>-3.359999999997143E-3</v>
      </c>
      <c r="J3" s="2"/>
    </row>
    <row r="4" spans="2:11" x14ac:dyDescent="0.25">
      <c r="B4" s="3">
        <v>0.12</v>
      </c>
      <c r="C4" s="4">
        <v>8.2932900000000007</v>
      </c>
      <c r="E4" s="8">
        <f>C5-C4</f>
        <v>-0.33500000000000085</v>
      </c>
      <c r="F4" s="8">
        <f t="shared" ref="F4:G6" si="0">E5-E4</f>
        <v>2.5640000000000995E-2</v>
      </c>
      <c r="G4" s="8">
        <f t="shared" si="0"/>
        <v>-2.8600000000009729E-3</v>
      </c>
    </row>
    <row r="5" spans="2:11" x14ac:dyDescent="0.25">
      <c r="B5" s="3">
        <v>0.125</v>
      </c>
      <c r="C5" s="4">
        <v>7.9582899999999999</v>
      </c>
      <c r="E5" s="8">
        <f>C6-C5</f>
        <v>-0.30935999999999986</v>
      </c>
      <c r="F5" s="8">
        <f t="shared" si="0"/>
        <v>2.2780000000000022E-2</v>
      </c>
      <c r="G5" s="8">
        <f t="shared" si="0"/>
        <v>-2.2400000000004638E-3</v>
      </c>
    </row>
    <row r="6" spans="2:11" x14ac:dyDescent="0.25">
      <c r="B6" s="3">
        <v>0.13</v>
      </c>
      <c r="C6" s="4">
        <v>7.64893</v>
      </c>
      <c r="E6" s="8">
        <f>C7-C6</f>
        <v>-0.28657999999999983</v>
      </c>
      <c r="F6" s="8">
        <f t="shared" si="0"/>
        <v>2.0539999999999559E-2</v>
      </c>
    </row>
    <row r="7" spans="2:11" x14ac:dyDescent="0.25">
      <c r="B7" s="3">
        <v>0.13500000000000001</v>
      </c>
      <c r="C7" s="4">
        <v>7.3623500000000002</v>
      </c>
      <c r="E7" s="8">
        <f>C8-C7</f>
        <v>-0.26604000000000028</v>
      </c>
    </row>
    <row r="8" spans="2:11" x14ac:dyDescent="0.25">
      <c r="B8" s="3">
        <v>0.14000000000000001</v>
      </c>
      <c r="C8" s="4">
        <v>7.0963099999999999</v>
      </c>
      <c r="E8" s="8"/>
    </row>
    <row r="10" spans="2:11" x14ac:dyDescent="0.25">
      <c r="B10" s="5" t="s">
        <v>7</v>
      </c>
      <c r="C10" s="5"/>
      <c r="D10" s="5"/>
      <c r="E10" s="5"/>
      <c r="F10" s="5"/>
      <c r="G10" s="5"/>
      <c r="H10" s="5"/>
      <c r="I10" s="5"/>
      <c r="J10" s="5"/>
      <c r="K10" s="5"/>
    </row>
    <row r="11" spans="2:11" x14ac:dyDescent="0.25">
      <c r="B11" s="2" t="s">
        <v>5</v>
      </c>
      <c r="C11" s="2"/>
      <c r="D11" s="2" t="s">
        <v>6</v>
      </c>
      <c r="E11" s="6"/>
    </row>
    <row r="12" spans="2:11" x14ac:dyDescent="0.25">
      <c r="B12" s="2">
        <f>(0.138-B8)/0.005</f>
        <v>-0.40000000000000036</v>
      </c>
      <c r="C12" s="2"/>
      <c r="D12" s="2">
        <f>C8+B12*E7+(B12*(B12+1)*F6/FACT(2))+B12*(B12+1)*(B12+2)*G5/FACT(3)</f>
        <v>7.20040456</v>
      </c>
    </row>
    <row r="19" spans="2:11" x14ac:dyDescent="0.25">
      <c r="B19" s="5" t="s">
        <v>8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x14ac:dyDescent="0.25">
      <c r="B20" s="7" t="s">
        <v>5</v>
      </c>
      <c r="D20" s="7" t="s">
        <v>9</v>
      </c>
    </row>
    <row r="21" spans="2:11" x14ac:dyDescent="0.25">
      <c r="B21" s="9">
        <f>(0.118-B3)/0.005</f>
        <v>0.59999999999999776</v>
      </c>
      <c r="D21" s="7">
        <f>C3+B21*E3+B21*(B21-1)*F3/FACT(2)+B21*(B21-1)*(B21-2)*G3/FACT(3)</f>
        <v>8.4352218400000005</v>
      </c>
    </row>
  </sheetData>
  <mergeCells count="2">
    <mergeCell ref="B10:K10"/>
    <mergeCell ref="B19:K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BF8A-BE89-4181-AAC5-55925BA5FD6B}">
  <dimension ref="B2:F16"/>
  <sheetViews>
    <sheetView tabSelected="1" workbookViewId="0">
      <selection activeCell="I27" sqref="I27"/>
    </sheetView>
  </sheetViews>
  <sheetFormatPr defaultRowHeight="15" x14ac:dyDescent="0.25"/>
  <cols>
    <col min="1" max="3" width="9.140625" style="1"/>
    <col min="4" max="4" width="12" style="1" customWidth="1"/>
    <col min="5" max="5" width="16.28515625" style="1" customWidth="1"/>
    <col min="6" max="6" width="18.28515625" style="1" customWidth="1"/>
    <col min="7" max="16384" width="9.140625" style="1"/>
  </cols>
  <sheetData>
    <row r="2" spans="2:6" x14ac:dyDescent="0.25">
      <c r="B2" s="1" t="s">
        <v>12</v>
      </c>
      <c r="C2" s="1" t="s">
        <v>1</v>
      </c>
      <c r="D2" s="1" t="s">
        <v>2</v>
      </c>
      <c r="E2" s="1" t="s">
        <v>10</v>
      </c>
      <c r="F2" s="1" t="s">
        <v>11</v>
      </c>
    </row>
    <row r="3" spans="2:6" x14ac:dyDescent="0.25">
      <c r="B3" s="1">
        <v>0</v>
      </c>
      <c r="C3" s="1">
        <v>0.43</v>
      </c>
      <c r="D3" s="1">
        <f>1.63597</f>
        <v>1.6359699999999999</v>
      </c>
      <c r="E3" s="11">
        <f>(D4-D3)/(C4-C3)</f>
        <v>1.9274000000000018</v>
      </c>
      <c r="F3" s="10">
        <f>(E4-E3)/(C5-C3)</f>
        <v>1.1430952380952037</v>
      </c>
    </row>
    <row r="4" spans="2:6" x14ac:dyDescent="0.25">
      <c r="B4" s="1">
        <v>1</v>
      </c>
      <c r="C4" s="1">
        <v>0.48</v>
      </c>
      <c r="D4" s="1">
        <f>1.73234</f>
        <v>1.73234</v>
      </c>
      <c r="E4" s="11">
        <f>(D5-D4)/(C5-C4)</f>
        <v>2.0645714285714263</v>
      </c>
      <c r="F4" s="10">
        <f t="shared" ref="F4:F6" si="0">(E5-E4)/(C6-C4)</f>
        <v>1.2316326530612762</v>
      </c>
    </row>
    <row r="5" spans="2:6" x14ac:dyDescent="0.25">
      <c r="B5" s="1">
        <v>2</v>
      </c>
      <c r="C5" s="1">
        <v>0.55000000000000004</v>
      </c>
      <c r="D5" s="1">
        <f>1.87686</f>
        <v>1.87686</v>
      </c>
      <c r="E5" s="11">
        <f t="shared" ref="E5:E7" si="1">(D6-D5)/(C6-C5)</f>
        <v>2.237000000000005</v>
      </c>
      <c r="F5" s="10">
        <f t="shared" si="0"/>
        <v>1.3374999999999686</v>
      </c>
    </row>
    <row r="6" spans="2:6" x14ac:dyDescent="0.25">
      <c r="B6" s="1">
        <v>3</v>
      </c>
      <c r="C6" s="1">
        <v>0.62</v>
      </c>
      <c r="D6" s="1">
        <f>2.03345</f>
        <v>2.0334500000000002</v>
      </c>
      <c r="E6" s="11">
        <f t="shared" si="1"/>
        <v>2.4376250000000002</v>
      </c>
      <c r="F6" s="10">
        <f>(E7-E6)/(C8-C6)</f>
        <v>1.4444230769230242</v>
      </c>
    </row>
    <row r="7" spans="2:6" x14ac:dyDescent="0.25">
      <c r="B7" s="1">
        <v>4</v>
      </c>
      <c r="C7" s="1">
        <v>0.7</v>
      </c>
      <c r="D7" s="1">
        <v>2.2284600000000001</v>
      </c>
      <c r="E7" s="11">
        <f t="shared" si="1"/>
        <v>2.6253999999999933</v>
      </c>
    </row>
    <row r="8" spans="2:6" x14ac:dyDescent="0.25">
      <c r="B8" s="1">
        <v>5</v>
      </c>
      <c r="C8" s="1">
        <v>0.75</v>
      </c>
      <c r="D8" s="1">
        <v>2.3597299999999999</v>
      </c>
    </row>
    <row r="12" spans="2:6" x14ac:dyDescent="0.25">
      <c r="B12" s="1" t="s">
        <v>1</v>
      </c>
      <c r="C12" s="1" t="s">
        <v>2</v>
      </c>
    </row>
    <row r="13" spans="2:6" x14ac:dyDescent="0.25">
      <c r="B13" s="1">
        <v>0.5</v>
      </c>
      <c r="C13" s="1">
        <f>D4+E4*(B13-C4)+F4*(B13-0.48)*(B13-0.55)</f>
        <v>1.7723997959183673</v>
      </c>
    </row>
    <row r="15" spans="2:6" x14ac:dyDescent="0.25">
      <c r="B15" s="1" t="s">
        <v>1</v>
      </c>
      <c r="C15" s="1" t="s">
        <v>2</v>
      </c>
    </row>
    <row r="16" spans="2:6" x14ac:dyDescent="0.25">
      <c r="B16" s="1">
        <v>0.65</v>
      </c>
      <c r="C16" s="1">
        <f>D6+E6*(B16-C6)+F6*(B16-C6)*(B16-C7)</f>
        <v>2.1044121153846156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Равностоящие</vt:lpstr>
      <vt:lpstr>Неравностоящие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2015-06-05T18:19:34Z</dcterms:created>
  <dcterms:modified xsi:type="dcterms:W3CDTF">2026-02-10T15:17:33Z</dcterms:modified>
</cp:coreProperties>
</file>