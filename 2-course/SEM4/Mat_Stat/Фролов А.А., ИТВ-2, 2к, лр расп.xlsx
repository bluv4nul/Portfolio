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"/>
    </mc:Choice>
  </mc:AlternateContent>
  <xr:revisionPtr revIDLastSave="0" documentId="8_{CE86F3A0-4612-4C9B-A405-43FC2DDB865E}" xr6:coauthVersionLast="47" xr6:coauthVersionMax="47" xr10:uidLastSave="{00000000-0000-0000-0000-000000000000}"/>
  <bookViews>
    <workbookView xWindow="-120" yWindow="-120" windowWidth="29040" windowHeight="16440" firstSheet="1" activeTab="4" xr2:uid="{1E112206-DA2C-42EC-A60D-BF9BC1EEFC15}"/>
  </bookViews>
  <sheets>
    <sheet name="Исходные данные" sheetId="1" r:id="rId1"/>
    <sheet name="Метод 1" sheetId="2" r:id="rId2"/>
    <sheet name="Метод 2" sheetId="3" r:id="rId3"/>
    <sheet name="Метод 3" sheetId="4" r:id="rId4"/>
    <sheet name="Метод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C3" i="5"/>
  <c r="G2" i="5"/>
  <c r="C2" i="5"/>
  <c r="E6" i="4"/>
  <c r="F6" i="4"/>
  <c r="E4" i="4"/>
  <c r="E5" i="4"/>
  <c r="F3" i="4"/>
  <c r="E3" i="4"/>
  <c r="H3" i="4" s="1"/>
  <c r="I3" i="4" s="1"/>
  <c r="C3" i="3"/>
  <c r="C5" i="3" s="1"/>
  <c r="C2" i="3"/>
  <c r="F7" i="2"/>
  <c r="F6" i="2"/>
  <c r="C10" i="2"/>
  <c r="C9" i="2"/>
  <c r="C8" i="2"/>
  <c r="C7" i="2"/>
  <c r="C3" i="2"/>
  <c r="C2" i="2"/>
  <c r="F4" i="4" l="1"/>
  <c r="H6" i="4"/>
  <c r="I6" i="4" s="1"/>
  <c r="F5" i="4"/>
  <c r="H5" i="4" s="1"/>
  <c r="I5" i="4" s="1"/>
  <c r="H4" i="4"/>
  <c r="I4" i="4" s="1"/>
</calcChain>
</file>

<file path=xl/sharedStrings.xml><?xml version="1.0" encoding="utf-8"?>
<sst xmlns="http://schemas.openxmlformats.org/spreadsheetml/2006/main" count="35" uniqueCount="32">
  <si>
    <t>ср. знач</t>
  </si>
  <si>
    <t>дисперс</t>
  </si>
  <si>
    <t>M_0</t>
  </si>
  <si>
    <t>М_E</t>
  </si>
  <si>
    <t>X_ср</t>
  </si>
  <si>
    <t>E_x</t>
  </si>
  <si>
    <t>A_s</t>
  </si>
  <si>
    <t>U_3</t>
  </si>
  <si>
    <t>U_4</t>
  </si>
  <si>
    <t xml:space="preserve">n </t>
  </si>
  <si>
    <t>A_s/U_3</t>
  </si>
  <si>
    <t>E_x/U_4</t>
  </si>
  <si>
    <t>Равенство не выполняется</t>
  </si>
  <si>
    <t>Равенство 1 не выполняется</t>
  </si>
  <si>
    <t>Равенство 2 не выполняется</t>
  </si>
  <si>
    <t>A</t>
  </si>
  <si>
    <t>A/sigm</t>
  </si>
  <si>
    <t>sigma</t>
  </si>
  <si>
    <t>a</t>
  </si>
  <si>
    <t>&lt;</t>
  </si>
  <si>
    <t>Неравенство выполнаяется</t>
  </si>
  <si>
    <t>B</t>
  </si>
  <si>
    <t>x_ср</t>
  </si>
  <si>
    <t>x_ср - B*sigm</t>
  </si>
  <si>
    <t>x_ср + B*sigm</t>
  </si>
  <si>
    <t>R_кр</t>
  </si>
  <si>
    <t>n</t>
  </si>
  <si>
    <t>n_i</t>
  </si>
  <si>
    <t>n_i/n</t>
  </si>
  <si>
    <t>Не выполняется для последнего числа B</t>
  </si>
  <si>
    <t>САО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</si>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</sst>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5" fontId="0" fillId="0" borderId="1" xfId="0" applyNumberFormat="1" applyBorder="1"/>
    <xf numFmtId="165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165" fontId="0" fillId="0" borderId="3" xfId="0" applyNumberFormat="1" applyBorder="1"/>
    <xf numFmtId="165" fontId="0" fillId="0" borderId="5" xfId="0" applyNumberFormat="1" applyBorder="1"/>
    <xf numFmtId="165" fontId="0" fillId="0" borderId="0" xfId="0" applyNumberFormat="1" applyBorder="1"/>
    <xf numFmtId="165" fontId="0" fillId="0" borderId="7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4" fontId="0" fillId="0" borderId="0" xfId="0" applyNumberFormat="1" applyBorder="1"/>
    <xf numFmtId="165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4" fontId="0" fillId="0" borderId="7" xfId="0" applyNumberFormat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0</xdr:row>
      <xdr:rowOff>180975</xdr:rowOff>
    </xdr:from>
    <xdr:to>
      <xdr:col>10</xdr:col>
      <xdr:colOff>508</xdr:colOff>
      <xdr:row>17</xdr:row>
      <xdr:rowOff>48068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1916C28-AB67-CE25-28C4-A76EDB6FC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80975"/>
          <a:ext cx="3639058" cy="3172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7613-88D7-4207-901E-6D4AB852AD0A}">
  <dimension ref="B1:K9"/>
  <sheetViews>
    <sheetView workbookViewId="0">
      <selection activeCell="I32" sqref="I32"/>
    </sheetView>
  </sheetViews>
  <sheetFormatPr defaultRowHeight="15" x14ac:dyDescent="0.25"/>
  <sheetData>
    <row r="1" spans="2:11" ht="15.75" thickBot="1" x14ac:dyDescent="0.3"/>
    <row r="2" spans="2:11" x14ac:dyDescent="0.25">
      <c r="B2" s="1">
        <v>0</v>
      </c>
      <c r="C2" s="2">
        <v>0</v>
      </c>
      <c r="D2" s="2">
        <v>0</v>
      </c>
      <c r="E2" s="3">
        <v>3.0000000000000001E-3</v>
      </c>
      <c r="F2" s="3">
        <v>1.0999999999999999E-2</v>
      </c>
      <c r="G2" s="3">
        <v>4.2000000000000003E-2</v>
      </c>
      <c r="H2" s="3">
        <v>0.191</v>
      </c>
      <c r="I2" s="3">
        <v>0.40500000000000003</v>
      </c>
      <c r="J2" s="3">
        <v>2E-3</v>
      </c>
      <c r="K2" s="4">
        <v>0.432</v>
      </c>
    </row>
    <row r="3" spans="2:11" x14ac:dyDescent="0.25">
      <c r="B3" s="5">
        <v>0.51700000000000002</v>
      </c>
      <c r="C3" s="6">
        <v>0.45600000000000002</v>
      </c>
      <c r="D3" s="6">
        <v>4.7E-2</v>
      </c>
      <c r="E3" s="6">
        <v>0.16200000000000001</v>
      </c>
      <c r="F3" s="6">
        <v>9.7000000000000003E-2</v>
      </c>
      <c r="G3" s="6">
        <v>0.26100000000000001</v>
      </c>
      <c r="H3" s="6">
        <v>0.16800000000000001</v>
      </c>
      <c r="I3" s="6">
        <v>2.8000000000000001E-2</v>
      </c>
      <c r="J3" s="6">
        <v>0.32400000000000001</v>
      </c>
      <c r="K3" s="7">
        <v>0.125</v>
      </c>
    </row>
    <row r="4" spans="2:11" x14ac:dyDescent="0.25">
      <c r="B4" s="5">
        <v>0.438</v>
      </c>
      <c r="C4" s="6">
        <v>0.13600000000000001</v>
      </c>
      <c r="D4" s="6">
        <v>1.9E-2</v>
      </c>
      <c r="E4" s="6">
        <v>0.26900000000000002</v>
      </c>
      <c r="F4" s="6">
        <v>9.1999999999999998E-2</v>
      </c>
      <c r="G4" s="6">
        <v>0.65300000000000002</v>
      </c>
      <c r="H4" s="6">
        <v>0.376</v>
      </c>
      <c r="I4" s="6">
        <v>9.9000000000000005E-2</v>
      </c>
      <c r="J4" s="6">
        <v>0.81200000000000006</v>
      </c>
      <c r="K4" s="7">
        <v>0.438</v>
      </c>
    </row>
    <row r="5" spans="2:11" x14ac:dyDescent="0.25">
      <c r="B5" s="5">
        <v>9.1999999999999998E-2</v>
      </c>
      <c r="C5" s="6">
        <v>0.13400000000000001</v>
      </c>
      <c r="D5" s="6">
        <v>0.307</v>
      </c>
      <c r="E5" s="6">
        <v>0.18099999999999999</v>
      </c>
      <c r="F5" s="6">
        <v>0.32700000000000001</v>
      </c>
      <c r="G5" s="6">
        <v>0.33800000000000002</v>
      </c>
      <c r="H5" s="6">
        <v>0.53900000000000003</v>
      </c>
      <c r="I5" s="6">
        <v>0.25</v>
      </c>
      <c r="J5" s="6">
        <v>0.45</v>
      </c>
      <c r="K5" s="7">
        <v>9.6000000000000002E-2</v>
      </c>
    </row>
    <row r="6" spans="2:11" ht="15.75" thickBot="1" x14ac:dyDescent="0.3">
      <c r="B6" s="8">
        <v>0.125</v>
      </c>
      <c r="C6" s="9">
        <v>0.17399999999999999</v>
      </c>
      <c r="D6" s="9">
        <v>0.159</v>
      </c>
      <c r="E6" s="9">
        <v>9.0999999999999998E-2</v>
      </c>
      <c r="F6" s="9">
        <v>0.22900000000000001</v>
      </c>
      <c r="G6" s="9">
        <v>0.46800000000000003</v>
      </c>
      <c r="H6" s="9">
        <v>0.28299999999999997</v>
      </c>
      <c r="I6" s="9">
        <v>0.151</v>
      </c>
      <c r="J6" s="9">
        <v>0.24399999999999999</v>
      </c>
      <c r="K6" s="10">
        <v>0.26100000000000001</v>
      </c>
    </row>
    <row r="7" spans="2:11" ht="15.75" thickBot="1" x14ac:dyDescent="0.3"/>
    <row r="8" spans="2:11" x14ac:dyDescent="0.25">
      <c r="B8" s="11" t="s">
        <v>0</v>
      </c>
      <c r="C8" s="4">
        <v>0.26200000000000001</v>
      </c>
    </row>
    <row r="9" spans="2:11" ht="15.75" thickBot="1" x14ac:dyDescent="0.3">
      <c r="B9" s="8" t="s">
        <v>1</v>
      </c>
      <c r="C9" s="10">
        <v>4.7E-2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22DD-948C-43F6-B7A2-0EA42AD05D7A}">
  <dimension ref="B1:K10"/>
  <sheetViews>
    <sheetView workbookViewId="0">
      <selection activeCell="E3" sqref="E3:H3"/>
    </sheetView>
  </sheetViews>
  <sheetFormatPr defaultRowHeight="15" x14ac:dyDescent="0.25"/>
  <sheetData>
    <row r="1" spans="2:11" ht="15.75" thickBot="1" x14ac:dyDescent="0.3"/>
    <row r="2" spans="2:11" ht="15.75" thickBot="1" x14ac:dyDescent="0.3">
      <c r="B2" s="11" t="s">
        <v>2</v>
      </c>
      <c r="C2" s="12">
        <f>_xlfn.MODE.SNGL('Исходные данные'!B2:K6)</f>
        <v>0</v>
      </c>
    </row>
    <row r="3" spans="2:11" ht="16.5" thickBot="1" x14ac:dyDescent="0.3">
      <c r="B3" s="5" t="s">
        <v>3</v>
      </c>
      <c r="C3" s="13">
        <f>MEDIAN('Исходные данные'!B2:K6)</f>
        <v>0.17749999999999999</v>
      </c>
      <c r="E3" s="41" t="s">
        <v>13</v>
      </c>
      <c r="F3" s="47"/>
      <c r="G3" s="47"/>
      <c r="H3" s="48"/>
    </row>
    <row r="4" spans="2:11" ht="15.75" thickBot="1" x14ac:dyDescent="0.3">
      <c r="B4" s="8" t="s">
        <v>4</v>
      </c>
      <c r="C4" s="10">
        <v>0.26200000000000001</v>
      </c>
    </row>
    <row r="5" spans="2:11" ht="15.75" thickBot="1" x14ac:dyDescent="0.3"/>
    <row r="6" spans="2:11" x14ac:dyDescent="0.25">
      <c r="B6" s="11" t="s">
        <v>9</v>
      </c>
      <c r="C6" s="3">
        <v>50</v>
      </c>
      <c r="D6" s="3"/>
      <c r="E6" s="3" t="s">
        <v>10</v>
      </c>
      <c r="F6" s="4">
        <f>C8/C9</f>
        <v>2.7384145090354561</v>
      </c>
    </row>
    <row r="7" spans="2:11" ht="15.75" thickBot="1" x14ac:dyDescent="0.3">
      <c r="B7" s="5" t="s">
        <v>5</v>
      </c>
      <c r="C7" s="14">
        <f>KURT('Исходные данные'!B2:K6)</f>
        <v>0.62101071043138045</v>
      </c>
      <c r="D7" s="6"/>
      <c r="E7" s="6" t="s">
        <v>11</v>
      </c>
      <c r="F7" s="7">
        <f>C7/C10</f>
        <v>0.99851427795937131</v>
      </c>
    </row>
    <row r="8" spans="2:11" ht="16.5" thickBot="1" x14ac:dyDescent="0.3">
      <c r="B8" s="5" t="s">
        <v>6</v>
      </c>
      <c r="C8" s="14">
        <f>SKEW('Исходные данные'!B2:K6)</f>
        <v>0.90312908646437584</v>
      </c>
      <c r="D8" s="6"/>
      <c r="E8" s="6"/>
      <c r="F8" s="7"/>
      <c r="H8" s="41" t="s">
        <v>14</v>
      </c>
      <c r="I8" s="47"/>
      <c r="J8" s="47"/>
      <c r="K8" s="48"/>
    </row>
    <row r="9" spans="2:11" x14ac:dyDescent="0.25">
      <c r="B9" s="5" t="s">
        <v>7</v>
      </c>
      <c r="C9" s="14">
        <f>SQRT((6*(50-1))/((50+1)*(50+3)))</f>
        <v>0.32979999320208186</v>
      </c>
      <c r="D9" s="6"/>
      <c r="E9" s="6"/>
      <c r="F9" s="7"/>
    </row>
    <row r="10" spans="2:11" ht="15.75" thickBot="1" x14ac:dyDescent="0.3">
      <c r="B10" s="8" t="s">
        <v>8</v>
      </c>
      <c r="C10" s="15">
        <f>SQRT((24*50*(50-2)*(50-3))/((50-1)^2*(50+3)*(50+5)))</f>
        <v>0.62193473257139431</v>
      </c>
      <c r="D10" s="9"/>
      <c r="E10" s="9"/>
      <c r="F10" s="10"/>
    </row>
  </sheetData>
  <mergeCells count="2">
    <mergeCell ref="H8:K8"/>
    <mergeCell ref="E3:H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A3F0-E9C8-45D9-AF31-3409C8130757}">
  <dimension ref="B1:P7"/>
  <sheetViews>
    <sheetView workbookViewId="0">
      <selection activeCell="M13" sqref="M13"/>
    </sheetView>
  </sheetViews>
  <sheetFormatPr defaultRowHeight="15" x14ac:dyDescent="0.25"/>
  <sheetData>
    <row r="1" spans="2:16" ht="15.75" thickBot="1" x14ac:dyDescent="0.3"/>
    <row r="2" spans="2:16" ht="16.5" thickBot="1" x14ac:dyDescent="0.3">
      <c r="B2" s="18" t="s">
        <v>15</v>
      </c>
      <c r="C2" s="19">
        <f>MAX('Исходные данные'!B2:K6)-MIN('Исходные данные'!B2:K6)</f>
        <v>0.81200000000000006</v>
      </c>
      <c r="L2" s="44">
        <v>3.83</v>
      </c>
      <c r="M2" s="45" t="s">
        <v>19</v>
      </c>
      <c r="N2" s="45">
        <v>4.34</v>
      </c>
      <c r="O2" s="45" t="s">
        <v>19</v>
      </c>
      <c r="P2" s="46">
        <v>5.14</v>
      </c>
    </row>
    <row r="3" spans="2:16" ht="15.75" thickBot="1" x14ac:dyDescent="0.3">
      <c r="B3" s="20" t="s">
        <v>17</v>
      </c>
      <c r="C3" s="21">
        <f>_xlfn.STDEV.S('Исходные данные'!B2:K6)</f>
        <v>0.18708504668700165</v>
      </c>
    </row>
    <row r="4" spans="2:16" ht="16.5" thickBot="1" x14ac:dyDescent="0.3">
      <c r="B4" s="20"/>
      <c r="C4" s="22"/>
      <c r="L4" s="41" t="s">
        <v>20</v>
      </c>
      <c r="M4" s="42"/>
      <c r="N4" s="42"/>
      <c r="O4" s="42"/>
      <c r="P4" s="43"/>
    </row>
    <row r="5" spans="2:16" x14ac:dyDescent="0.25">
      <c r="B5" s="20" t="s">
        <v>16</v>
      </c>
      <c r="C5" s="21">
        <f>C2/C3</f>
        <v>4.3402720547650073</v>
      </c>
    </row>
    <row r="6" spans="2:16" x14ac:dyDescent="0.25">
      <c r="B6" s="20"/>
      <c r="C6" s="22"/>
    </row>
    <row r="7" spans="2:16" ht="15.75" thickBot="1" x14ac:dyDescent="0.3">
      <c r="B7" s="23" t="s">
        <v>18</v>
      </c>
      <c r="C7" s="24">
        <v>0.05</v>
      </c>
    </row>
  </sheetData>
  <mergeCells count="1">
    <mergeCell ref="L4:P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39C0-1AAD-4819-85B6-BAB8BE7D4E27}">
  <dimension ref="B1:J8"/>
  <sheetViews>
    <sheetView workbookViewId="0">
      <selection activeCell="B3" sqref="B3:B6"/>
    </sheetView>
  </sheetViews>
  <sheetFormatPr defaultRowHeight="15" x14ac:dyDescent="0.25"/>
  <cols>
    <col min="5" max="6" width="14.7109375" customWidth="1"/>
  </cols>
  <sheetData>
    <row r="1" spans="2:10" ht="15.75" thickBot="1" x14ac:dyDescent="0.3"/>
    <row r="2" spans="2:10" ht="15.75" thickBot="1" x14ac:dyDescent="0.3">
      <c r="B2" s="35" t="s">
        <v>17</v>
      </c>
      <c r="C2" s="36" t="s">
        <v>21</v>
      </c>
      <c r="D2" s="36" t="s">
        <v>22</v>
      </c>
      <c r="E2" s="36" t="s">
        <v>23</v>
      </c>
      <c r="F2" s="36" t="s">
        <v>24</v>
      </c>
      <c r="G2" s="36" t="s">
        <v>26</v>
      </c>
      <c r="H2" s="36" t="s">
        <v>27</v>
      </c>
      <c r="I2" s="36" t="s">
        <v>28</v>
      </c>
      <c r="J2" s="37" t="s">
        <v>25</v>
      </c>
    </row>
    <row r="3" spans="2:10" x14ac:dyDescent="0.25">
      <c r="B3" s="25">
        <v>0.18708504668700165</v>
      </c>
      <c r="C3" s="26">
        <v>0.3</v>
      </c>
      <c r="D3" s="27">
        <v>0.26200000000000001</v>
      </c>
      <c r="E3" s="28">
        <f>$D$3-C3*$B$3</f>
        <v>0.20587448599389951</v>
      </c>
      <c r="F3" s="28">
        <f>$D$3+C3*$B$3</f>
        <v>0.31812551400610051</v>
      </c>
      <c r="G3" s="27">
        <v>50</v>
      </c>
      <c r="H3" s="6">
        <f>COUNTIFS('Исходные данные'!$B$2:$K$6, "&gt;=" &amp; E3, 'Исходные данные'!$B$2:$K$6, "&lt;=" &amp; F3)</f>
        <v>8</v>
      </c>
      <c r="I3" s="29">
        <f>H3/$G$3</f>
        <v>0.16</v>
      </c>
      <c r="J3" s="22">
        <v>0.25</v>
      </c>
    </row>
    <row r="4" spans="2:10" x14ac:dyDescent="0.25">
      <c r="B4" s="25"/>
      <c r="C4" s="26">
        <v>0.7</v>
      </c>
      <c r="D4" s="27"/>
      <c r="E4" s="28">
        <f t="shared" ref="E4:E6" si="0">$D$3-C4*$B$3</f>
        <v>0.13104046731909885</v>
      </c>
      <c r="F4" s="28">
        <f t="shared" ref="F4:F6" si="1">$D$3+C4*$B$3</f>
        <v>0.39295953268090117</v>
      </c>
      <c r="G4" s="27"/>
      <c r="H4" s="6">
        <f>COUNTIFS('Исходные данные'!$B$2:$K$6, "&gt;=" &amp; E4, 'Исходные данные'!$B$2:$K$6, "&lt;=" &amp; F4)</f>
        <v>21</v>
      </c>
      <c r="I4" s="29">
        <f t="shared" ref="I4:I6" si="2">H4/$G$3</f>
        <v>0.42</v>
      </c>
      <c r="J4" s="22">
        <v>0.5</v>
      </c>
    </row>
    <row r="5" spans="2:10" x14ac:dyDescent="0.25">
      <c r="B5" s="25"/>
      <c r="C5" s="26">
        <v>1.1000000000000001</v>
      </c>
      <c r="D5" s="27"/>
      <c r="E5" s="28">
        <f t="shared" si="0"/>
        <v>5.6206448644298163E-2</v>
      </c>
      <c r="F5" s="28">
        <f t="shared" si="1"/>
        <v>0.46779355135570189</v>
      </c>
      <c r="G5" s="27"/>
      <c r="H5" s="6">
        <f>COUNTIFS('Исходные данные'!$B$2:$K$6, "&gt;=" &amp; E5, 'Исходные данные'!$B$2:$K$6, "&lt;=" &amp; F5)</f>
        <v>35</v>
      </c>
      <c r="I5" s="29">
        <f t="shared" si="2"/>
        <v>0.7</v>
      </c>
      <c r="J5" s="22">
        <v>0.75</v>
      </c>
    </row>
    <row r="6" spans="2:10" ht="15.75" thickBot="1" x14ac:dyDescent="0.3">
      <c r="B6" s="30"/>
      <c r="C6" s="31">
        <v>3</v>
      </c>
      <c r="D6" s="32"/>
      <c r="E6" s="33">
        <f t="shared" si="0"/>
        <v>-0.29925514006100495</v>
      </c>
      <c r="F6" s="33">
        <f>$D$3+C6*$B$3</f>
        <v>0.82325514006100498</v>
      </c>
      <c r="G6" s="32"/>
      <c r="H6" s="9">
        <f>COUNTIFS('Исходные данные'!$B$2:$K$6, "&gt;=" &amp; E6, 'Исходные данные'!$B$2:$K$6, "&lt;=" &amp; F6)</f>
        <v>50</v>
      </c>
      <c r="I6" s="34">
        <f t="shared" si="2"/>
        <v>1</v>
      </c>
      <c r="J6" s="24">
        <v>0.99</v>
      </c>
    </row>
    <row r="7" spans="2:10" ht="15.75" thickBot="1" x14ac:dyDescent="0.3"/>
    <row r="8" spans="2:10" ht="16.5" thickBot="1" x14ac:dyDescent="0.3">
      <c r="B8" s="38" t="s">
        <v>29</v>
      </c>
      <c r="C8" s="39"/>
      <c r="D8" s="39"/>
      <c r="E8" s="39"/>
      <c r="F8" s="39"/>
      <c r="G8" s="39"/>
      <c r="H8" s="39"/>
      <c r="I8" s="39"/>
      <c r="J8" s="40"/>
    </row>
  </sheetData>
  <mergeCells count="4">
    <mergeCell ref="D3:D6"/>
    <mergeCell ref="B3:B6"/>
    <mergeCell ref="G3:G6"/>
    <mergeCell ref="B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F37FC-2214-4931-BA58-283836F9FDF4}">
  <dimension ref="B2:G5"/>
  <sheetViews>
    <sheetView tabSelected="1" workbookViewId="0">
      <selection activeCell="B5" sqref="B5:G5"/>
    </sheetView>
  </sheetViews>
  <sheetFormatPr defaultRowHeight="15" x14ac:dyDescent="0.25"/>
  <sheetData>
    <row r="2" spans="2:7" x14ac:dyDescent="0.25">
      <c r="B2" t="s">
        <v>30</v>
      </c>
      <c r="C2">
        <f>AVEDEV('Исходные данные'!B2:K6)</f>
        <v>0.15148479999999998</v>
      </c>
      <c r="E2">
        <f>ABS(C2/C3-0.7979)</f>
        <v>1.1810891824711844E-2</v>
      </c>
      <c r="F2" s="17" t="s">
        <v>31</v>
      </c>
      <c r="G2">
        <f>(0.4/SQRT(50))</f>
        <v>5.6568542494923803E-2</v>
      </c>
    </row>
    <row r="3" spans="2:7" x14ac:dyDescent="0.25">
      <c r="B3" t="s">
        <v>17</v>
      </c>
      <c r="C3">
        <f>_xlfn.STDEV.S('Исходные данные'!B2:K6)</f>
        <v>0.18708504668700165</v>
      </c>
    </row>
    <row r="5" spans="2:7" ht="15.75" x14ac:dyDescent="0.25">
      <c r="B5" s="16" t="s">
        <v>12</v>
      </c>
      <c r="C5" s="16"/>
      <c r="D5" s="16"/>
      <c r="E5" s="16"/>
      <c r="F5" s="16"/>
      <c r="G5" s="16"/>
    </row>
  </sheetData>
  <mergeCells count="1">
    <mergeCell ref="B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Исходные данные</vt:lpstr>
      <vt:lpstr>Метод 1</vt:lpstr>
      <vt:lpstr>Метод 2</vt:lpstr>
      <vt:lpstr>Метод 3</vt:lpstr>
      <vt:lpstr>Метод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2026-02-08T13:58:20Z</dcterms:created>
  <dcterms:modified xsi:type="dcterms:W3CDTF">2026-02-08T15:04:46Z</dcterms:modified>
</cp:coreProperties>
</file>