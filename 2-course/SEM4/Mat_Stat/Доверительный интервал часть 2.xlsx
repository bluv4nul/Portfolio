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"/>
    </mc:Choice>
  </mc:AlternateContent>
  <xr:revisionPtr revIDLastSave="0" documentId="8_{3097979F-19F4-47ED-8EF8-5B60183BE270}" xr6:coauthVersionLast="47" xr6:coauthVersionMax="47" xr10:uidLastSave="{00000000-0000-0000-0000-000000000000}"/>
  <bookViews>
    <workbookView xWindow="-105" yWindow="0" windowWidth="17040" windowHeight="16305" firstSheet="2" activeTab="5" xr2:uid="{A8FC92FD-9EFB-4F64-88C1-1129306A1896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ча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6" l="1"/>
  <c r="B33" i="6"/>
  <c r="F30" i="6"/>
  <c r="B30" i="6"/>
  <c r="C7" i="6"/>
  <c r="C6" i="6"/>
  <c r="C30" i="5"/>
  <c r="C20" i="5"/>
  <c r="C7" i="5"/>
  <c r="C29" i="4"/>
  <c r="B32" i="4" s="1"/>
  <c r="D32" i="4"/>
  <c r="F21" i="4"/>
  <c r="D21" i="4"/>
  <c r="B21" i="4"/>
  <c r="C18" i="4"/>
  <c r="C9" i="4"/>
  <c r="C8" i="4"/>
  <c r="C7" i="4"/>
  <c r="L15" i="3"/>
  <c r="F15" i="3"/>
  <c r="L9" i="3"/>
  <c r="F8" i="3"/>
  <c r="F24" i="2"/>
  <c r="D24" i="2"/>
  <c r="B24" i="2"/>
  <c r="C14" i="2"/>
  <c r="C10" i="2"/>
  <c r="C9" i="2"/>
  <c r="C8" i="2"/>
  <c r="C7" i="2"/>
  <c r="J16" i="1"/>
  <c r="J6" i="1"/>
  <c r="J4" i="1"/>
  <c r="J3" i="1"/>
  <c r="J2" i="1"/>
  <c r="E10" i="1"/>
  <c r="G5" i="1"/>
  <c r="G6" i="1"/>
  <c r="G7" i="1"/>
  <c r="F7" i="1"/>
  <c r="F6" i="1"/>
  <c r="F5" i="1"/>
  <c r="F4" i="1"/>
  <c r="G4" i="1" s="1"/>
  <c r="C9" i="1"/>
  <c r="D9" i="1"/>
  <c r="E9" i="1"/>
  <c r="F32" i="4" l="1"/>
</calcChain>
</file>

<file path=xl/sharedStrings.xml><?xml version="1.0" encoding="utf-8"?>
<sst xmlns="http://schemas.openxmlformats.org/spreadsheetml/2006/main" count="105" uniqueCount="55">
  <si>
    <t>i</t>
  </si>
  <si>
    <t>x_i</t>
  </si>
  <si>
    <t>o</t>
  </si>
  <si>
    <t>`</t>
  </si>
  <si>
    <t>``</t>
  </si>
  <si>
    <t>средн</t>
  </si>
  <si>
    <t xml:space="preserve">перевод </t>
  </si>
  <si>
    <t>сре знач</t>
  </si>
  <si>
    <t>3 с измен</t>
  </si>
  <si>
    <t>x_i-x, ``</t>
  </si>
  <si>
    <t>(x_i-x)^2, ``</t>
  </si>
  <si>
    <t>Дисп</t>
  </si>
  <si>
    <t>Дисп, ``</t>
  </si>
  <si>
    <t>Ср.Кв.От, ``</t>
  </si>
  <si>
    <t>Ср.Кв.От арифм серед, ``</t>
  </si>
  <si>
    <t>p</t>
  </si>
  <si>
    <t>Число степеней свободы</t>
  </si>
  <si>
    <t>t</t>
  </si>
  <si>
    <t>dt</t>
  </si>
  <si>
    <t>dt, ``</t>
  </si>
  <si>
    <t>Начало инетрвала</t>
  </si>
  <si>
    <t>Конец инетрвала</t>
  </si>
  <si>
    <t>Вывод</t>
  </si>
  <si>
    <t>все измерения с доверительной вероятностью 0,95 входят в инервал</t>
  </si>
  <si>
    <t>Расход</t>
  </si>
  <si>
    <t>n</t>
  </si>
  <si>
    <t>N</t>
  </si>
  <si>
    <t>Ср. Знач</t>
  </si>
  <si>
    <t>Считаем выборку случайной бесповторной</t>
  </si>
  <si>
    <t>Ср.Откл</t>
  </si>
  <si>
    <t>V</t>
  </si>
  <si>
    <t>Интервал</t>
  </si>
  <si>
    <t>&lt;</t>
  </si>
  <si>
    <t>?</t>
  </si>
  <si>
    <t xml:space="preserve">рассмотреть повторную и бесповторную выборки </t>
  </si>
  <si>
    <t>Повторная</t>
  </si>
  <si>
    <t>Ф(t)</t>
  </si>
  <si>
    <t>0,1σ</t>
  </si>
  <si>
    <t>Безповторная</t>
  </si>
  <si>
    <t>Комментарий</t>
  </si>
  <si>
    <t>В формулах сокращаем дисперсию</t>
  </si>
  <si>
    <t>m</t>
  </si>
  <si>
    <t>w</t>
  </si>
  <si>
    <t>Выборку считаем повторной</t>
  </si>
  <si>
    <t>Выборку считаем безповторной</t>
  </si>
  <si>
    <t>w неизвестно, поетому возьмем завышенное знаечение w = 0,5</t>
  </si>
  <si>
    <t>Бесповторная</t>
  </si>
  <si>
    <t>m_i</t>
  </si>
  <si>
    <t>x_ср</t>
  </si>
  <si>
    <t>Z_1</t>
  </si>
  <si>
    <t>Z_2</t>
  </si>
  <si>
    <t>дисп</t>
  </si>
  <si>
    <t>Интервал дисп</t>
  </si>
  <si>
    <t>Интервал ср.кв.отк</t>
  </si>
  <si>
    <t>ср.кв.отк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</si>
</sst>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0.0000"/>
  </numFmts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123825</xdr:rowOff>
    </xdr:from>
    <xdr:to>
      <xdr:col>16</xdr:col>
      <xdr:colOff>10341</xdr:colOff>
      <xdr:row>12</xdr:row>
      <xdr:rowOff>181145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DEDE967-090E-026F-DCD8-10AA9FFA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285875"/>
          <a:ext cx="5849166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57150</xdr:rowOff>
    </xdr:from>
    <xdr:to>
      <xdr:col>10</xdr:col>
      <xdr:colOff>438295</xdr:colOff>
      <xdr:row>5</xdr:row>
      <xdr:rowOff>114389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D4C5DD-7EF7-3DF7-4F82-8C653610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5" y="457200"/>
          <a:ext cx="1038370" cy="638264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5</xdr:row>
      <xdr:rowOff>171450</xdr:rowOff>
    </xdr:from>
    <xdr:to>
      <xdr:col>13</xdr:col>
      <xdr:colOff>324668</xdr:colOff>
      <xdr:row>21</xdr:row>
      <xdr:rowOff>28980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17D0959-FA06-FA93-1324-5FA34230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0775" y="1152525"/>
          <a:ext cx="5858693" cy="2905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8</xdr:row>
      <xdr:rowOff>47625</xdr:rowOff>
    </xdr:from>
    <xdr:to>
      <xdr:col>2</xdr:col>
      <xdr:colOff>276309</xdr:colOff>
      <xdr:row>11</xdr:row>
      <xdr:rowOff>114389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E5EAB60-E97B-CEBB-ECDB-9535AE5A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571625"/>
          <a:ext cx="600159" cy="638264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8</xdr:row>
      <xdr:rowOff>38100</xdr:rowOff>
    </xdr:from>
    <xdr:to>
      <xdr:col>7</xdr:col>
      <xdr:colOff>200129</xdr:colOff>
      <xdr:row>8</xdr:row>
      <xdr:rowOff>161942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CE93F9F-FC43-7D49-128C-B788ED180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4275" y="1562100"/>
          <a:ext cx="743054" cy="123842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6</xdr:row>
      <xdr:rowOff>104775</xdr:rowOff>
    </xdr:from>
    <xdr:to>
      <xdr:col>9</xdr:col>
      <xdr:colOff>533574</xdr:colOff>
      <xdr:row>10</xdr:row>
      <xdr:rowOff>123934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5C97317-FC01-19D5-1075-F6E27BCFB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72025" y="1247775"/>
          <a:ext cx="1247949" cy="78115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14</xdr:row>
      <xdr:rowOff>104775</xdr:rowOff>
    </xdr:from>
    <xdr:to>
      <xdr:col>2</xdr:col>
      <xdr:colOff>504966</xdr:colOff>
      <xdr:row>17</xdr:row>
      <xdr:rowOff>114381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CC3A35E-A671-1F18-5ECC-1CC26A9D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" y="2771775"/>
          <a:ext cx="1009791" cy="581106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13</xdr:row>
      <xdr:rowOff>9525</xdr:rowOff>
    </xdr:from>
    <xdr:to>
      <xdr:col>9</xdr:col>
      <xdr:colOff>447962</xdr:colOff>
      <xdr:row>17</xdr:row>
      <xdr:rowOff>47737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D1E1A24-D0B7-2270-0D82-694C7994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6675" y="2486025"/>
          <a:ext cx="2057687" cy="80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7</xdr:row>
      <xdr:rowOff>38100</xdr:rowOff>
    </xdr:from>
    <xdr:to>
      <xdr:col>4</xdr:col>
      <xdr:colOff>314429</xdr:colOff>
      <xdr:row>7</xdr:row>
      <xdr:rowOff>161942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94AF880-9814-42F6-BDD1-34C89DD8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1390650"/>
          <a:ext cx="743054" cy="12384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11</xdr:row>
      <xdr:rowOff>76200</xdr:rowOff>
    </xdr:from>
    <xdr:to>
      <xdr:col>4</xdr:col>
      <xdr:colOff>600419</xdr:colOff>
      <xdr:row>15</xdr:row>
      <xdr:rowOff>181096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97F53F3-4950-9E02-B1BE-BE02E153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2190750"/>
          <a:ext cx="2467319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23</xdr:row>
      <xdr:rowOff>38100</xdr:rowOff>
    </xdr:from>
    <xdr:to>
      <xdr:col>6</xdr:col>
      <xdr:colOff>381496</xdr:colOff>
      <xdr:row>27</xdr:row>
      <xdr:rowOff>28680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9571296-DDA7-8AA6-58E4-1F5F468D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4438650"/>
          <a:ext cx="3553321" cy="7525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6</xdr:row>
      <xdr:rowOff>0</xdr:rowOff>
    </xdr:from>
    <xdr:to>
      <xdr:col>5</xdr:col>
      <xdr:colOff>57320</xdr:colOff>
      <xdr:row>8</xdr:row>
      <xdr:rowOff>38158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F006C51-34BA-A45A-F7E5-ED89D8553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1143000"/>
          <a:ext cx="1219370" cy="4191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85725</xdr:rowOff>
    </xdr:from>
    <xdr:to>
      <xdr:col>4</xdr:col>
      <xdr:colOff>486098</xdr:colOff>
      <xdr:row>18</xdr:row>
      <xdr:rowOff>95384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EA4A4EF-423C-E9AD-D959-4AFD31C7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62225"/>
          <a:ext cx="2314898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</xdr:row>
      <xdr:rowOff>95250</xdr:rowOff>
    </xdr:from>
    <xdr:to>
      <xdr:col>5</xdr:col>
      <xdr:colOff>524286</xdr:colOff>
      <xdr:row>27</xdr:row>
      <xdr:rowOff>57278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8EFB59F-F13A-0DEA-8F4B-94B91A61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4286250"/>
          <a:ext cx="2943636" cy="9145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4</xdr:row>
      <xdr:rowOff>180975</xdr:rowOff>
    </xdr:from>
    <xdr:to>
      <xdr:col>16</xdr:col>
      <xdr:colOff>248619</xdr:colOff>
      <xdr:row>18</xdr:row>
      <xdr:rowOff>9873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E49BC0C-3F5F-77D2-E929-01D048C9C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942975"/>
          <a:ext cx="6944694" cy="249589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20</xdr:row>
      <xdr:rowOff>28575</xdr:rowOff>
    </xdr:from>
    <xdr:to>
      <xdr:col>11</xdr:col>
      <xdr:colOff>305692</xdr:colOff>
      <xdr:row>24</xdr:row>
      <xdr:rowOff>104892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4104015-8F2B-4DF3-9249-AE8195E0A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3838575"/>
          <a:ext cx="6392167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25</xdr:row>
      <xdr:rowOff>161925</xdr:rowOff>
    </xdr:from>
    <xdr:to>
      <xdr:col>8</xdr:col>
      <xdr:colOff>485924</xdr:colOff>
      <xdr:row>35</xdr:row>
      <xdr:rowOff>95507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D55B1BE-148A-4248-51B4-25D182D80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5775" y="4924425"/>
          <a:ext cx="1066949" cy="1838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C74-864E-4935-A144-935E65822EC6}">
  <dimension ref="B1:J22"/>
  <sheetViews>
    <sheetView workbookViewId="0">
      <selection activeCell="H26" sqref="H26"/>
    </sheetView>
  </sheetViews>
  <sheetFormatPr defaultRowHeight="15" x14ac:dyDescent="0.25"/>
  <cols>
    <col min="5" max="5" width="9.140625" customWidth="1"/>
    <col min="7" max="7" width="11.28515625" customWidth="1"/>
    <col min="9" max="9" width="23.5703125" customWidth="1"/>
  </cols>
  <sheetData>
    <row r="1" spans="2:10" ht="15.75" thickBot="1" x14ac:dyDescent="0.3"/>
    <row r="2" spans="2:10" x14ac:dyDescent="0.25">
      <c r="B2" s="23" t="s">
        <v>0</v>
      </c>
      <c r="C2" s="20" t="s">
        <v>1</v>
      </c>
      <c r="D2" s="4"/>
      <c r="E2" s="21"/>
      <c r="F2" s="20" t="s">
        <v>9</v>
      </c>
      <c r="G2" s="21" t="s">
        <v>10</v>
      </c>
      <c r="I2" s="33" t="s">
        <v>12</v>
      </c>
      <c r="J2" s="2">
        <f>SUM(G4:G7)/3</f>
        <v>450</v>
      </c>
    </row>
    <row r="3" spans="2:10" ht="15.75" thickBot="1" x14ac:dyDescent="0.3">
      <c r="B3" s="24"/>
      <c r="C3" s="22" t="s">
        <v>2</v>
      </c>
      <c r="D3" s="16" t="s">
        <v>3</v>
      </c>
      <c r="E3" s="17" t="s">
        <v>4</v>
      </c>
      <c r="F3" s="25"/>
      <c r="G3" s="26"/>
      <c r="I3" s="33" t="s">
        <v>13</v>
      </c>
      <c r="J3" s="36">
        <f>SQRT(J2)</f>
        <v>21.213203435596427</v>
      </c>
    </row>
    <row r="4" spans="2:10" x14ac:dyDescent="0.25">
      <c r="B4" s="7">
        <v>1</v>
      </c>
      <c r="C4" s="18">
        <v>25</v>
      </c>
      <c r="D4" s="19">
        <v>17</v>
      </c>
      <c r="E4" s="19">
        <v>30</v>
      </c>
      <c r="F4" s="5">
        <f>E4-E11</f>
        <v>-15</v>
      </c>
      <c r="G4" s="6">
        <f>F4*F4</f>
        <v>225</v>
      </c>
      <c r="I4" s="2" t="s">
        <v>14</v>
      </c>
      <c r="J4" s="36">
        <f>J3/SQRT(4)</f>
        <v>10.606601717798213</v>
      </c>
    </row>
    <row r="5" spans="2:10" x14ac:dyDescent="0.25">
      <c r="B5" s="7">
        <v>2</v>
      </c>
      <c r="C5" s="7">
        <v>25</v>
      </c>
      <c r="D5" s="9">
        <v>17</v>
      </c>
      <c r="E5" s="9">
        <v>45</v>
      </c>
      <c r="F5" s="8">
        <f>E5-E11</f>
        <v>0</v>
      </c>
      <c r="G5" s="11">
        <f t="shared" ref="G5:G7" si="0">F5*F5</f>
        <v>0</v>
      </c>
      <c r="I5" s="2" t="s">
        <v>15</v>
      </c>
      <c r="J5" s="2">
        <v>0.95</v>
      </c>
    </row>
    <row r="6" spans="2:10" x14ac:dyDescent="0.25">
      <c r="B6" s="12">
        <v>3</v>
      </c>
      <c r="C6" s="12">
        <v>25</v>
      </c>
      <c r="D6" s="13">
        <v>18</v>
      </c>
      <c r="E6" s="13">
        <v>15</v>
      </c>
      <c r="F6" s="8">
        <f>E8-E11</f>
        <v>30</v>
      </c>
      <c r="G6" s="11">
        <f t="shared" si="0"/>
        <v>900</v>
      </c>
      <c r="I6" s="2" t="s">
        <v>16</v>
      </c>
      <c r="J6" s="2">
        <f>4-1</f>
        <v>3</v>
      </c>
    </row>
    <row r="7" spans="2:10" x14ac:dyDescent="0.25">
      <c r="B7" s="7">
        <v>4</v>
      </c>
      <c r="C7" s="7">
        <v>25</v>
      </c>
      <c r="D7" s="9">
        <v>17</v>
      </c>
      <c r="E7" s="9">
        <v>30</v>
      </c>
      <c r="F7" s="8">
        <f>E7-E11</f>
        <v>-15</v>
      </c>
      <c r="G7" s="11">
        <f t="shared" si="0"/>
        <v>225</v>
      </c>
      <c r="I7" s="2"/>
      <c r="J7" s="2"/>
    </row>
    <row r="8" spans="2:10" ht="15.75" thickBot="1" x14ac:dyDescent="0.3">
      <c r="B8" s="30" t="s">
        <v>8</v>
      </c>
      <c r="C8" s="31">
        <v>25</v>
      </c>
      <c r="D8" s="32">
        <v>17</v>
      </c>
      <c r="E8" s="32">
        <v>75</v>
      </c>
      <c r="F8" s="16"/>
      <c r="G8" s="17"/>
      <c r="I8" s="2"/>
      <c r="J8" s="2"/>
    </row>
    <row r="9" spans="2:10" x14ac:dyDescent="0.25">
      <c r="B9" s="18" t="s">
        <v>5</v>
      </c>
      <c r="C9" s="18">
        <f>SUM(C4:C7)/4</f>
        <v>25</v>
      </c>
      <c r="D9" s="19">
        <f>SUM(D4:D7)/4</f>
        <v>17.25</v>
      </c>
      <c r="E9" s="27">
        <f>SUM(E4:E7)/4</f>
        <v>30</v>
      </c>
      <c r="F9" s="8"/>
      <c r="G9" s="11"/>
    </row>
    <row r="10" spans="2:10" x14ac:dyDescent="0.25">
      <c r="B10" s="7" t="s">
        <v>6</v>
      </c>
      <c r="C10" s="7">
        <v>25</v>
      </c>
      <c r="D10" s="29">
        <v>17</v>
      </c>
      <c r="E10" s="10">
        <f>0.25*60+E9</f>
        <v>45</v>
      </c>
      <c r="F10" s="8"/>
      <c r="G10" s="11"/>
    </row>
    <row r="11" spans="2:10" ht="15.75" thickBot="1" x14ac:dyDescent="0.3">
      <c r="B11" s="14" t="s">
        <v>7</v>
      </c>
      <c r="C11" s="14">
        <v>25</v>
      </c>
      <c r="D11" s="15">
        <v>17</v>
      </c>
      <c r="E11" s="28">
        <v>45</v>
      </c>
      <c r="F11" s="16"/>
      <c r="G11" s="17"/>
    </row>
    <row r="13" spans="2:10" ht="15.75" thickBot="1" x14ac:dyDescent="0.3"/>
    <row r="14" spans="2:10" x14ac:dyDescent="0.25">
      <c r="B14" s="20" t="s">
        <v>20</v>
      </c>
      <c r="C14" s="4"/>
      <c r="D14" s="21"/>
    </row>
    <row r="15" spans="2:10" ht="15.75" thickBot="1" x14ac:dyDescent="0.3">
      <c r="B15" s="22" t="s">
        <v>2</v>
      </c>
      <c r="C15" s="16" t="s">
        <v>3</v>
      </c>
      <c r="D15" s="17" t="s">
        <v>4</v>
      </c>
      <c r="I15" s="2" t="s">
        <v>17</v>
      </c>
      <c r="J15" s="2">
        <v>3.18</v>
      </c>
    </row>
    <row r="16" spans="2:10" ht="15.75" thickBot="1" x14ac:dyDescent="0.3">
      <c r="B16" s="2">
        <v>25</v>
      </c>
      <c r="C16" s="2">
        <v>17</v>
      </c>
      <c r="D16" s="2">
        <v>11</v>
      </c>
      <c r="I16" s="2" t="s">
        <v>19</v>
      </c>
      <c r="J16" s="38">
        <f>J15*J4</f>
        <v>33.728993462598318</v>
      </c>
    </row>
    <row r="17" spans="2:4" x14ac:dyDescent="0.25">
      <c r="B17" s="20" t="s">
        <v>21</v>
      </c>
      <c r="C17" s="4"/>
      <c r="D17" s="21"/>
    </row>
    <row r="18" spans="2:4" ht="15.75" thickBot="1" x14ac:dyDescent="0.3">
      <c r="B18" s="22" t="s">
        <v>2</v>
      </c>
      <c r="C18" s="16" t="s">
        <v>3</v>
      </c>
      <c r="D18" s="17" t="s">
        <v>4</v>
      </c>
    </row>
    <row r="19" spans="2:4" x14ac:dyDescent="0.25">
      <c r="B19" s="2">
        <v>25</v>
      </c>
      <c r="C19" s="2">
        <v>18</v>
      </c>
      <c r="D19" s="2">
        <v>19</v>
      </c>
    </row>
    <row r="22" spans="2:4" x14ac:dyDescent="0.25">
      <c r="B22" t="s">
        <v>22</v>
      </c>
      <c r="C22" t="s">
        <v>23</v>
      </c>
    </row>
  </sheetData>
  <mergeCells count="6">
    <mergeCell ref="C2:E2"/>
    <mergeCell ref="B2:B3"/>
    <mergeCell ref="F2:F3"/>
    <mergeCell ref="G2:G3"/>
    <mergeCell ref="B14:D14"/>
    <mergeCell ref="B17:D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E106-1AE6-4301-85A4-AAEC99F41FD1}">
  <dimension ref="B1:L24"/>
  <sheetViews>
    <sheetView workbookViewId="0">
      <selection activeCell="H23" sqref="H23"/>
    </sheetView>
  </sheetViews>
  <sheetFormatPr defaultRowHeight="15" x14ac:dyDescent="0.25"/>
  <sheetData>
    <row r="1" spans="2:12" ht="15.75" thickBot="1" x14ac:dyDescent="0.3"/>
    <row r="2" spans="2:12" ht="15.75" thickBot="1" x14ac:dyDescent="0.3">
      <c r="B2" s="42" t="s">
        <v>24</v>
      </c>
      <c r="C2" s="39">
        <v>125</v>
      </c>
      <c r="D2" s="39">
        <v>78</v>
      </c>
      <c r="E2" s="39">
        <v>102</v>
      </c>
      <c r="F2" s="39">
        <v>140</v>
      </c>
      <c r="G2" s="39">
        <v>90</v>
      </c>
      <c r="H2" s="39">
        <v>45</v>
      </c>
      <c r="I2" s="39">
        <v>50</v>
      </c>
      <c r="J2" s="39">
        <v>125</v>
      </c>
      <c r="K2" s="39">
        <v>115</v>
      </c>
      <c r="L2" s="40">
        <v>112</v>
      </c>
    </row>
    <row r="3" spans="2:12" x14ac:dyDescent="0.25">
      <c r="B3" s="3" t="s">
        <v>25</v>
      </c>
      <c r="C3" s="6">
        <v>10</v>
      </c>
    </row>
    <row r="4" spans="2:12" x14ac:dyDescent="0.25">
      <c r="B4" s="41" t="s">
        <v>26</v>
      </c>
      <c r="C4" s="11">
        <v>70</v>
      </c>
      <c r="E4" t="s">
        <v>28</v>
      </c>
    </row>
    <row r="5" spans="2:12" ht="15.75" thickBot="1" x14ac:dyDescent="0.3">
      <c r="B5" s="22" t="s">
        <v>15</v>
      </c>
      <c r="C5" s="17">
        <v>0.95</v>
      </c>
    </row>
    <row r="7" spans="2:12" x14ac:dyDescent="0.25">
      <c r="B7" t="s">
        <v>27</v>
      </c>
      <c r="C7">
        <f>AVERAGE(C2:L2)</f>
        <v>98.2</v>
      </c>
    </row>
    <row r="8" spans="2:12" x14ac:dyDescent="0.25">
      <c r="B8" t="s">
        <v>11</v>
      </c>
      <c r="C8">
        <f>_xlfn.VAR.S(C2:L2)</f>
        <v>1033.2888888888895</v>
      </c>
    </row>
    <row r="9" spans="2:12" x14ac:dyDescent="0.25">
      <c r="B9" t="s">
        <v>29</v>
      </c>
      <c r="C9">
        <f>SQRT(C8)</f>
        <v>32.144811228079867</v>
      </c>
    </row>
    <row r="10" spans="2:12" x14ac:dyDescent="0.25">
      <c r="B10" t="s">
        <v>30</v>
      </c>
      <c r="C10">
        <f>10-1</f>
        <v>9</v>
      </c>
    </row>
    <row r="12" spans="2:12" x14ac:dyDescent="0.25">
      <c r="B12" t="s">
        <v>17</v>
      </c>
      <c r="C12">
        <v>2.2599999999999998</v>
      </c>
    </row>
    <row r="14" spans="2:12" x14ac:dyDescent="0.25">
      <c r="B14" t="s">
        <v>18</v>
      </c>
      <c r="C14" s="43">
        <f>C12*SQRT((C8/C3)*(1-C3/C4))</f>
        <v>21.268943815987178</v>
      </c>
    </row>
    <row r="22" spans="2:6" ht="15.75" thickBot="1" x14ac:dyDescent="0.3"/>
    <row r="23" spans="2:6" x14ac:dyDescent="0.25">
      <c r="B23" s="45" t="s">
        <v>31</v>
      </c>
      <c r="C23" s="46"/>
      <c r="D23" s="46"/>
      <c r="E23" s="46"/>
      <c r="F23" s="47"/>
    </row>
    <row r="24" spans="2:6" ht="15.75" thickBot="1" x14ac:dyDescent="0.3">
      <c r="B24" s="48">
        <f>C7-C14</f>
        <v>76.931056184012817</v>
      </c>
      <c r="C24" s="15" t="s">
        <v>32</v>
      </c>
      <c r="D24" s="15">
        <f>C7</f>
        <v>98.2</v>
      </c>
      <c r="E24" s="15" t="s">
        <v>32</v>
      </c>
      <c r="F24" s="49">
        <f>C7+C14</f>
        <v>119.46894381598719</v>
      </c>
    </row>
  </sheetData>
  <mergeCells count="1">
    <mergeCell ref="B23:F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42DF-E8E3-40D7-8B0D-88E6999C717A}">
  <dimension ref="B2:L21"/>
  <sheetViews>
    <sheetView workbookViewId="0">
      <selection activeCell="J5" sqref="J5"/>
    </sheetView>
  </sheetViews>
  <sheetFormatPr defaultRowHeight="15" x14ac:dyDescent="0.25"/>
  <sheetData>
    <row r="2" spans="2:12" x14ac:dyDescent="0.25">
      <c r="B2" s="1" t="s">
        <v>26</v>
      </c>
      <c r="C2" s="1">
        <v>1000</v>
      </c>
    </row>
    <row r="3" spans="2:12" x14ac:dyDescent="0.25">
      <c r="B3" s="1" t="s">
        <v>25</v>
      </c>
      <c r="C3" s="1" t="s">
        <v>33</v>
      </c>
    </row>
    <row r="4" spans="2:12" x14ac:dyDescent="0.25">
      <c r="B4" s="1" t="s">
        <v>15</v>
      </c>
      <c r="C4" s="1">
        <v>0.95</v>
      </c>
    </row>
    <row r="5" spans="2:12" x14ac:dyDescent="0.25">
      <c r="B5" s="1" t="s">
        <v>18</v>
      </c>
      <c r="C5" s="1" t="s">
        <v>37</v>
      </c>
    </row>
    <row r="6" spans="2:12" x14ac:dyDescent="0.25">
      <c r="B6" t="s">
        <v>34</v>
      </c>
    </row>
    <row r="8" spans="2:12" x14ac:dyDescent="0.25">
      <c r="B8" s="44" t="s">
        <v>35</v>
      </c>
      <c r="C8" s="44"/>
      <c r="E8" t="s">
        <v>36</v>
      </c>
      <c r="F8">
        <f>C4/2</f>
        <v>0.47499999999999998</v>
      </c>
    </row>
    <row r="9" spans="2:12" x14ac:dyDescent="0.25">
      <c r="E9" t="s">
        <v>17</v>
      </c>
      <c r="F9">
        <v>1.96</v>
      </c>
      <c r="K9" t="s">
        <v>25</v>
      </c>
      <c r="L9" s="38">
        <f>(F9*F9)/(0.01)</f>
        <v>384.15999999999997</v>
      </c>
    </row>
    <row r="14" spans="2:12" x14ac:dyDescent="0.25">
      <c r="B14" s="44" t="s">
        <v>38</v>
      </c>
      <c r="C14" s="44"/>
    </row>
    <row r="15" spans="2:12" x14ac:dyDescent="0.25">
      <c r="E15" t="s">
        <v>17</v>
      </c>
      <c r="F15">
        <f>F9</f>
        <v>1.96</v>
      </c>
      <c r="K15" t="s">
        <v>25</v>
      </c>
      <c r="L15" s="35">
        <f>(C2*F15^2)/(1000*0.01+F15^2)</f>
        <v>277.54016876661655</v>
      </c>
    </row>
    <row r="20" spans="2:5" x14ac:dyDescent="0.25">
      <c r="B20" s="44" t="s">
        <v>39</v>
      </c>
      <c r="C20" s="44"/>
      <c r="D20" s="44"/>
      <c r="E20" s="44"/>
    </row>
    <row r="21" spans="2:5" x14ac:dyDescent="0.25">
      <c r="B21" s="44" t="s">
        <v>40</v>
      </c>
      <c r="C21" s="44"/>
      <c r="D21" s="44"/>
      <c r="E21" s="44"/>
    </row>
  </sheetData>
  <mergeCells count="4">
    <mergeCell ref="B8:C8"/>
    <mergeCell ref="B14:C14"/>
    <mergeCell ref="B20:E20"/>
    <mergeCell ref="B21:E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39AA-4E2A-4BA2-B822-EB945A9C3F47}">
  <dimension ref="B1:F32"/>
  <sheetViews>
    <sheetView workbookViewId="0">
      <selection activeCell="C30" sqref="C30"/>
    </sheetView>
  </sheetViews>
  <sheetFormatPr defaultRowHeight="15" x14ac:dyDescent="0.25"/>
  <cols>
    <col min="3" max="3" width="10.140625" bestFit="1" customWidth="1"/>
  </cols>
  <sheetData>
    <row r="1" spans="2:3" ht="15.75" thickBot="1" x14ac:dyDescent="0.3"/>
    <row r="2" spans="2:3" x14ac:dyDescent="0.25">
      <c r="B2" s="3" t="s">
        <v>26</v>
      </c>
      <c r="C2" s="6">
        <v>5000</v>
      </c>
    </row>
    <row r="3" spans="2:3" x14ac:dyDescent="0.25">
      <c r="B3" s="41" t="s">
        <v>25</v>
      </c>
      <c r="C3" s="11">
        <v>400</v>
      </c>
    </row>
    <row r="4" spans="2:3" x14ac:dyDescent="0.25">
      <c r="B4" s="41" t="s">
        <v>41</v>
      </c>
      <c r="C4" s="11">
        <v>300</v>
      </c>
    </row>
    <row r="5" spans="2:3" ht="15.75" thickBot="1" x14ac:dyDescent="0.3">
      <c r="B5" s="22" t="s">
        <v>30</v>
      </c>
      <c r="C5" s="17">
        <v>0.95</v>
      </c>
    </row>
    <row r="7" spans="2:3" x14ac:dyDescent="0.25">
      <c r="B7" t="s">
        <v>36</v>
      </c>
      <c r="C7">
        <f>C5/2</f>
        <v>0.47499999999999998</v>
      </c>
    </row>
    <row r="8" spans="2:3" x14ac:dyDescent="0.25">
      <c r="B8" t="s">
        <v>17</v>
      </c>
      <c r="C8">
        <f>1.96</f>
        <v>1.96</v>
      </c>
    </row>
    <row r="9" spans="2:3" x14ac:dyDescent="0.25">
      <c r="B9" t="s">
        <v>42</v>
      </c>
      <c r="C9">
        <f>C4/C3</f>
        <v>0.75</v>
      </c>
    </row>
    <row r="11" spans="2:3" x14ac:dyDescent="0.25">
      <c r="B11" t="s">
        <v>43</v>
      </c>
    </row>
    <row r="18" spans="2:6" x14ac:dyDescent="0.25">
      <c r="B18" t="s">
        <v>18</v>
      </c>
      <c r="C18" s="37">
        <f>C8*SQRT((C9*(1-C9))/C3)</f>
        <v>4.243524478543749E-2</v>
      </c>
    </row>
    <row r="20" spans="2:6" x14ac:dyDescent="0.25">
      <c r="B20" s="44" t="s">
        <v>31</v>
      </c>
      <c r="C20" s="44"/>
      <c r="D20" s="44"/>
      <c r="E20" s="44"/>
      <c r="F20" s="44"/>
    </row>
    <row r="21" spans="2:6" x14ac:dyDescent="0.25">
      <c r="B21" s="50">
        <f>C9-C18</f>
        <v>0.70756475521456252</v>
      </c>
      <c r="C21" s="1" t="s">
        <v>32</v>
      </c>
      <c r="D21" s="1">
        <f>C9</f>
        <v>0.75</v>
      </c>
      <c r="E21" s="1" t="s">
        <v>32</v>
      </c>
      <c r="F21" s="50">
        <f>D21+C18</f>
        <v>0.79243524478543748</v>
      </c>
    </row>
    <row r="23" spans="2:6" x14ac:dyDescent="0.25">
      <c r="B23" t="s">
        <v>44</v>
      </c>
    </row>
    <row r="29" spans="2:6" x14ac:dyDescent="0.25">
      <c r="B29" t="s">
        <v>18</v>
      </c>
      <c r="C29" s="37">
        <f>C8*SQRT((C9*(1-C9))/C3*(1-C3/C2))</f>
        <v>4.0702456928298568E-2</v>
      </c>
    </row>
    <row r="31" spans="2:6" x14ac:dyDescent="0.25">
      <c r="B31" s="44" t="s">
        <v>31</v>
      </c>
      <c r="C31" s="44"/>
      <c r="D31" s="44"/>
      <c r="E31" s="44"/>
      <c r="F31" s="44"/>
    </row>
    <row r="32" spans="2:6" x14ac:dyDescent="0.25">
      <c r="B32" s="50">
        <f>D32-C29</f>
        <v>0.70929754307170145</v>
      </c>
      <c r="C32" s="1" t="s">
        <v>32</v>
      </c>
      <c r="D32" s="1">
        <f>0.75</f>
        <v>0.75</v>
      </c>
      <c r="E32" s="1" t="s">
        <v>32</v>
      </c>
      <c r="F32" s="50">
        <f>D32+C29</f>
        <v>0.79070245692829855</v>
      </c>
    </row>
  </sheetData>
  <mergeCells count="2">
    <mergeCell ref="B20:F20"/>
    <mergeCell ref="B31:F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6A41-EEAC-4EBB-B4F4-89FA768D2F74}">
  <dimension ref="B2:C30"/>
  <sheetViews>
    <sheetView workbookViewId="0">
      <selection activeCell="C30" sqref="C30"/>
    </sheetView>
  </sheetViews>
  <sheetFormatPr defaultRowHeight="15" x14ac:dyDescent="0.25"/>
  <sheetData>
    <row r="2" spans="2:3" x14ac:dyDescent="0.25">
      <c r="B2" t="s">
        <v>26</v>
      </c>
      <c r="C2">
        <v>10000</v>
      </c>
    </row>
    <row r="3" spans="2:3" x14ac:dyDescent="0.25">
      <c r="B3" t="s">
        <v>25</v>
      </c>
      <c r="C3" t="s">
        <v>33</v>
      </c>
    </row>
    <row r="4" spans="2:3" x14ac:dyDescent="0.25">
      <c r="B4" t="s">
        <v>18</v>
      </c>
      <c r="C4">
        <v>0.05</v>
      </c>
    </row>
    <row r="5" spans="2:3" x14ac:dyDescent="0.25">
      <c r="B5" t="s">
        <v>30</v>
      </c>
      <c r="C5">
        <v>0.99950000000000006</v>
      </c>
    </row>
    <row r="7" spans="2:3" x14ac:dyDescent="0.25">
      <c r="B7" t="s">
        <v>36</v>
      </c>
      <c r="C7">
        <f>C5/2</f>
        <v>0.49975000000000003</v>
      </c>
    </row>
    <row r="8" spans="2:3" x14ac:dyDescent="0.25">
      <c r="B8" t="s">
        <v>17</v>
      </c>
      <c r="C8">
        <v>3.5</v>
      </c>
    </row>
    <row r="10" spans="2:3" x14ac:dyDescent="0.25">
      <c r="B10" t="s">
        <v>45</v>
      </c>
    </row>
    <row r="11" spans="2:3" x14ac:dyDescent="0.25">
      <c r="B11" t="s">
        <v>42</v>
      </c>
      <c r="C11">
        <v>0.5</v>
      </c>
    </row>
    <row r="13" spans="2:3" x14ac:dyDescent="0.25">
      <c r="B13" t="s">
        <v>35</v>
      </c>
    </row>
    <row r="20" spans="2:3" x14ac:dyDescent="0.25">
      <c r="B20" t="s">
        <v>25</v>
      </c>
      <c r="C20">
        <f>C11*(1-C11)*C8^2/C4^2</f>
        <v>1224.9999999999998</v>
      </c>
    </row>
    <row r="22" spans="2:3" x14ac:dyDescent="0.25">
      <c r="B22" t="s">
        <v>46</v>
      </c>
    </row>
    <row r="30" spans="2:3" x14ac:dyDescent="0.25">
      <c r="B30" t="s">
        <v>25</v>
      </c>
      <c r="C30" s="38">
        <f>C2*C8^2*C11*(1-C11)/(C2*C4^2+C8^2*C11*(1-C11))</f>
        <v>1091.3140311804007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C51B-24C7-4C5A-BF3F-D38F618B532C}">
  <dimension ref="B2:G33"/>
  <sheetViews>
    <sheetView tabSelected="1" workbookViewId="0">
      <selection activeCell="F33" sqref="F33"/>
    </sheetView>
  </sheetViews>
  <sheetFormatPr defaultRowHeight="15" x14ac:dyDescent="0.25"/>
  <sheetData>
    <row r="2" spans="2:7" x14ac:dyDescent="0.25">
      <c r="B2" t="s">
        <v>1</v>
      </c>
      <c r="C2">
        <v>0.1</v>
      </c>
      <c r="D2">
        <v>0.2</v>
      </c>
      <c r="E2">
        <v>0.3</v>
      </c>
      <c r="F2">
        <v>0.4</v>
      </c>
      <c r="G2">
        <v>0.5</v>
      </c>
    </row>
    <row r="3" spans="2:7" x14ac:dyDescent="0.25">
      <c r="B3" t="s">
        <v>47</v>
      </c>
      <c r="C3">
        <v>2</v>
      </c>
      <c r="D3">
        <v>4</v>
      </c>
      <c r="E3">
        <v>7</v>
      </c>
      <c r="F3">
        <v>6</v>
      </c>
      <c r="G3">
        <v>1</v>
      </c>
    </row>
    <row r="4" spans="2:7" x14ac:dyDescent="0.25">
      <c r="B4" t="s">
        <v>30</v>
      </c>
      <c r="C4">
        <v>0.99</v>
      </c>
    </row>
    <row r="6" spans="2:7" x14ac:dyDescent="0.25">
      <c r="B6" t="s">
        <v>25</v>
      </c>
      <c r="C6">
        <f>SUM(C3:G3)</f>
        <v>20</v>
      </c>
    </row>
    <row r="7" spans="2:7" x14ac:dyDescent="0.25">
      <c r="B7" t="s">
        <v>48</v>
      </c>
      <c r="C7">
        <f>SUMPRODUCT(C2:G2,C3:G3)/C6</f>
        <v>0.3</v>
      </c>
    </row>
    <row r="8" spans="2:7" x14ac:dyDescent="0.25">
      <c r="B8" t="s">
        <v>17</v>
      </c>
      <c r="C8">
        <v>2.86</v>
      </c>
    </row>
    <row r="9" spans="2:7" x14ac:dyDescent="0.25">
      <c r="B9" t="s">
        <v>11</v>
      </c>
      <c r="C9">
        <v>1.158E-2</v>
      </c>
    </row>
    <row r="27" spans="2:6" x14ac:dyDescent="0.25">
      <c r="B27" t="s">
        <v>49</v>
      </c>
      <c r="C27">
        <v>6.8</v>
      </c>
      <c r="E27" t="s">
        <v>50</v>
      </c>
      <c r="F27">
        <v>38.5</v>
      </c>
    </row>
    <row r="29" spans="2:6" x14ac:dyDescent="0.25">
      <c r="B29" s="44" t="s">
        <v>52</v>
      </c>
      <c r="C29" s="44"/>
      <c r="D29" s="44"/>
      <c r="E29" s="44"/>
      <c r="F29" s="44"/>
    </row>
    <row r="30" spans="2:6" x14ac:dyDescent="0.25">
      <c r="B30" s="34">
        <f>C6*C9/F27</f>
        <v>6.0155844155844159E-3</v>
      </c>
      <c r="C30" t="s">
        <v>32</v>
      </c>
      <c r="D30" t="s">
        <v>51</v>
      </c>
      <c r="E30" t="s">
        <v>32</v>
      </c>
      <c r="F30" s="34">
        <f>C6*C9/C27</f>
        <v>3.4058823529411766E-2</v>
      </c>
    </row>
    <row r="32" spans="2:6" x14ac:dyDescent="0.25">
      <c r="B32" s="44" t="s">
        <v>53</v>
      </c>
      <c r="C32" s="44"/>
      <c r="D32" s="44"/>
      <c r="E32" s="44"/>
      <c r="F32" s="44"/>
    </row>
    <row r="33" spans="2:6" x14ac:dyDescent="0.25">
      <c r="B33" s="37">
        <f>SQRT(B30)</f>
        <v>7.7560198656169102E-2</v>
      </c>
      <c r="C33" t="s">
        <v>32</v>
      </c>
      <c r="D33" t="s">
        <v>54</v>
      </c>
      <c r="E33" t="s">
        <v>32</v>
      </c>
      <c r="F33" s="37">
        <f>SQRT(F30)</f>
        <v>0.18455032790383161</v>
      </c>
    </row>
  </sheetData>
  <mergeCells count="2">
    <mergeCell ref="B29:F29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2026-02-24T15:13:33Z</dcterms:created>
  <dcterms:modified xsi:type="dcterms:W3CDTF">2026-02-24T16:42:52Z</dcterms:modified>
</cp:coreProperties>
</file>