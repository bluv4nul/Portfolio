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Main Uni\Portfolio\2-course\SEM4\Mat_Stat\Регрессионный анализ\"/>
    </mc:Choice>
  </mc:AlternateContent>
  <xr:revisionPtr revIDLastSave="0" documentId="13_ncr:1_{2F9F45FE-88F0-4C1C-8FC1-4D9CCDA8C52D}" xr6:coauthVersionLast="47" xr6:coauthVersionMax="47" xr10:uidLastSave="{00000000-0000-0000-0000-000000000000}"/>
  <bookViews>
    <workbookView xWindow="14295" yWindow="0" windowWidth="14610" windowHeight="16305" activeTab="1" xr2:uid="{1A81E5A8-60BD-421B-A5A1-4DD01C6A0629}"/>
  </bookViews>
  <sheets>
    <sheet name="Квартиры" sheetId="1" r:id="rId1"/>
    <sheet name="Распа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5" i="2" l="1"/>
  <c r="I31" i="2"/>
  <c r="I42" i="2"/>
  <c r="I32" i="2"/>
  <c r="I33" i="2"/>
  <c r="I34" i="2"/>
  <c r="I35" i="2"/>
  <c r="I36" i="2"/>
  <c r="I37" i="2"/>
  <c r="I38" i="2"/>
  <c r="I39" i="2"/>
  <c r="I40" i="2"/>
  <c r="I41" i="2"/>
  <c r="C53" i="2"/>
  <c r="F32" i="2"/>
  <c r="F33" i="2"/>
  <c r="F34" i="2"/>
  <c r="F35" i="2"/>
  <c r="F36" i="2"/>
  <c r="F37" i="2"/>
  <c r="F38" i="2"/>
  <c r="F39" i="2"/>
  <c r="F40" i="2"/>
  <c r="F41" i="2"/>
  <c r="F42" i="2"/>
  <c r="F31" i="2"/>
  <c r="C43" i="2"/>
  <c r="D43" i="2"/>
  <c r="J43" i="2"/>
  <c r="K43" i="2"/>
  <c r="C44" i="2"/>
  <c r="D44" i="2"/>
  <c r="I44" i="2"/>
  <c r="J44" i="2"/>
  <c r="K44" i="2"/>
  <c r="E32" i="2"/>
  <c r="H32" i="2" s="1"/>
  <c r="E33" i="2"/>
  <c r="H33" i="2" s="1"/>
  <c r="E34" i="2"/>
  <c r="H34" i="2" s="1"/>
  <c r="E35" i="2"/>
  <c r="H35" i="2" s="1"/>
  <c r="E36" i="2"/>
  <c r="H36" i="2" s="1"/>
  <c r="E37" i="2"/>
  <c r="G37" i="2" s="1"/>
  <c r="E38" i="2"/>
  <c r="H38" i="2" s="1"/>
  <c r="E39" i="2"/>
  <c r="H39" i="2" s="1"/>
  <c r="E40" i="2"/>
  <c r="H40" i="2" s="1"/>
  <c r="E41" i="2"/>
  <c r="G41" i="2" s="1"/>
  <c r="E42" i="2"/>
  <c r="H42" i="2" s="1"/>
  <c r="E31" i="2"/>
  <c r="H31" i="2" s="1"/>
  <c r="C119" i="1"/>
  <c r="D114" i="1"/>
  <c r="P104" i="1"/>
  <c r="M93" i="1"/>
  <c r="J22" i="1"/>
  <c r="M92" i="1" s="1"/>
  <c r="I22" i="1"/>
  <c r="L22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7" i="1"/>
  <c r="F86" i="1"/>
  <c r="F67" i="1"/>
  <c r="F66" i="1"/>
  <c r="G23" i="1"/>
  <c r="C67" i="1"/>
  <c r="F23" i="1"/>
  <c r="C66" i="1"/>
  <c r="E23" i="1"/>
  <c r="C56" i="1"/>
  <c r="I10" i="1"/>
  <c r="K10" i="1" s="1"/>
  <c r="I14" i="1"/>
  <c r="J14" i="1" s="1"/>
  <c r="I16" i="1"/>
  <c r="J16" i="1" s="1"/>
  <c r="I7" i="1"/>
  <c r="K7" i="1" s="1"/>
  <c r="H8" i="1"/>
  <c r="I8" i="1" s="1"/>
  <c r="H9" i="1"/>
  <c r="I9" i="1" s="1"/>
  <c r="H10" i="1"/>
  <c r="H11" i="1"/>
  <c r="I11" i="1" s="1"/>
  <c r="H12" i="1"/>
  <c r="I12" i="1" s="1"/>
  <c r="H13" i="1"/>
  <c r="I13" i="1" s="1"/>
  <c r="H14" i="1"/>
  <c r="H15" i="1"/>
  <c r="I15" i="1" s="1"/>
  <c r="H16" i="1"/>
  <c r="H17" i="1"/>
  <c r="I17" i="1" s="1"/>
  <c r="H18" i="1"/>
  <c r="I18" i="1" s="1"/>
  <c r="H19" i="1"/>
  <c r="I19" i="1" s="1"/>
  <c r="H20" i="1"/>
  <c r="I20" i="1" s="1"/>
  <c r="H21" i="1"/>
  <c r="I21" i="1" s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7" i="1"/>
  <c r="D23" i="1"/>
  <c r="C23" i="1"/>
  <c r="D22" i="1"/>
  <c r="C22" i="1"/>
  <c r="I43" i="2" l="1"/>
  <c r="F44" i="2"/>
  <c r="G31" i="2"/>
  <c r="H37" i="2"/>
  <c r="G39" i="2"/>
  <c r="H41" i="2"/>
  <c r="H43" i="2" s="1"/>
  <c r="G38" i="2"/>
  <c r="G42" i="2"/>
  <c r="G40" i="2"/>
  <c r="G36" i="2"/>
  <c r="F43" i="2"/>
  <c r="G35" i="2"/>
  <c r="G34" i="2"/>
  <c r="G33" i="2"/>
  <c r="G32" i="2"/>
  <c r="E43" i="2"/>
  <c r="E44" i="2"/>
  <c r="J15" i="1"/>
  <c r="K15" i="1"/>
  <c r="K12" i="1"/>
  <c r="J12" i="1"/>
  <c r="K21" i="1"/>
  <c r="J21" i="1"/>
  <c r="K13" i="1"/>
  <c r="J13" i="1"/>
  <c r="K11" i="1"/>
  <c r="J11" i="1"/>
  <c r="K9" i="1"/>
  <c r="J9" i="1"/>
  <c r="K8" i="1"/>
  <c r="K22" i="1" s="1"/>
  <c r="J8" i="1"/>
  <c r="K19" i="1"/>
  <c r="J19" i="1"/>
  <c r="K17" i="1"/>
  <c r="J17" i="1"/>
  <c r="K20" i="1"/>
  <c r="J20" i="1"/>
  <c r="K18" i="1"/>
  <c r="J18" i="1"/>
  <c r="K16" i="1"/>
  <c r="K14" i="1"/>
  <c r="J7" i="1"/>
  <c r="J10" i="1"/>
  <c r="G44" i="2" l="1"/>
  <c r="G43" i="2"/>
  <c r="H44" i="2"/>
  <c r="C46" i="1"/>
  <c r="K23" i="1"/>
</calcChain>
</file>

<file path=xl/sharedStrings.xml><?xml version="1.0" encoding="utf-8"?>
<sst xmlns="http://schemas.openxmlformats.org/spreadsheetml/2006/main" count="64" uniqueCount="57">
  <si>
    <t>x</t>
  </si>
  <si>
    <t>y</t>
  </si>
  <si>
    <t>№ п/п</t>
  </si>
  <si>
    <t>x²</t>
  </si>
  <si>
    <t>y²</t>
  </si>
  <si>
    <t>xy</t>
  </si>
  <si>
    <t>y'</t>
  </si>
  <si>
    <t>y - y'</t>
  </si>
  <si>
    <t>(y - y')²</t>
  </si>
  <si>
    <t>A=|y-y'|/y</t>
  </si>
  <si>
    <t>Итого</t>
  </si>
  <si>
    <t>Ср Зн</t>
  </si>
  <si>
    <t>b1</t>
  </si>
  <si>
    <t>b0</t>
  </si>
  <si>
    <t>Aср</t>
  </si>
  <si>
    <t>%</t>
  </si>
  <si>
    <t>1. Построение графика зависимости</t>
  </si>
  <si>
    <t>2. Определение уравнения</t>
  </si>
  <si>
    <t>2.1 Расчет параметров</t>
  </si>
  <si>
    <t>2.2 Расчет коэффициентов b</t>
  </si>
  <si>
    <t>2.3 Полученное уравнение:</t>
  </si>
  <si>
    <t>3. Оценка качества уравнения с помощью средней ошибки апроксимации</t>
  </si>
  <si>
    <t>4. Вычисление коэффициента эластичности</t>
  </si>
  <si>
    <t>Э</t>
  </si>
  <si>
    <t>Коэффициент эластичности показывает что при увеличении площади на 1% стоимость увеличивается на 0,804%</t>
  </si>
  <si>
    <t>5. Оценка тесноты связи</t>
  </si>
  <si>
    <t>r</t>
  </si>
  <si>
    <t>r^2</t>
  </si>
  <si>
    <t>6. Оценить значимость коэффициентов корреляции и регрессии о критерию t-Стьюдента при уровне значимости   α = 0.05.</t>
  </si>
  <si>
    <t>t</t>
  </si>
  <si>
    <t>tрасч &gt; tкр =&gt; Нулевая гипотеза отвергается</t>
  </si>
  <si>
    <t>(x-xср)^2</t>
  </si>
  <si>
    <t>m_b1</t>
  </si>
  <si>
    <t>tрасч</t>
  </si>
  <si>
    <t>7. Охарактеризовать статистическую надежность результатов регрессионного анализа с использованием критерия F-Фишера при уровне значимости   α = 0.05.</t>
  </si>
  <si>
    <t>F</t>
  </si>
  <si>
    <t>8. Определить прогнозное значение результативного признака, если возможное значение факторного признака составит 1.2 от его среднего уровня по совокупности.</t>
  </si>
  <si>
    <t>x = xср * 1,2</t>
  </si>
  <si>
    <t>2. Прологарифмируем</t>
  </si>
  <si>
    <t xml:space="preserve">1. Предположим что регрессия имеет вид </t>
  </si>
  <si>
    <t>3. Введем обозначения</t>
  </si>
  <si>
    <t>4. Перепишем уравнение</t>
  </si>
  <si>
    <t>5. Промежутончые вычисления</t>
  </si>
  <si>
    <t>i</t>
  </si>
  <si>
    <t>t_i</t>
  </si>
  <si>
    <t>x_i</t>
  </si>
  <si>
    <t>y_i</t>
  </si>
  <si>
    <t>t_i^2</t>
  </si>
  <si>
    <t>y_i^2</t>
  </si>
  <si>
    <t>y_i*t_i</t>
  </si>
  <si>
    <t>y(t_i)</t>
  </si>
  <si>
    <t>(yi-yti)^2</t>
  </si>
  <si>
    <t>(yti-yср)^2</t>
  </si>
  <si>
    <t>итого</t>
  </si>
  <si>
    <t>ср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</si>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</sst>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0"/>
      <color rgb="FF555555"/>
      <name val="Open Sans"/>
      <charset val="204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0" fillId="0" borderId="1" xfId="0" applyFill="1" applyBorder="1"/>
    <xf numFmtId="0" fontId="2" fillId="0" borderId="0" xfId="0" applyFont="1"/>
    <xf numFmtId="0" fontId="3" fillId="0" borderId="0" xfId="0" applyFont="1" applyBorder="1"/>
    <xf numFmtId="0" fontId="3" fillId="0" borderId="11" xfId="0" applyFont="1" applyBorder="1"/>
    <xf numFmtId="0" fontId="0" fillId="0" borderId="1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между переменными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Точки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Квартиры!$C$2:$Q$2</c:f>
              <c:numCache>
                <c:formatCode>General</c:formatCode>
                <c:ptCount val="15"/>
                <c:pt idx="0">
                  <c:v>13.8</c:v>
                </c:pt>
                <c:pt idx="1">
                  <c:v>13.8</c:v>
                </c:pt>
                <c:pt idx="2">
                  <c:v>14</c:v>
                </c:pt>
                <c:pt idx="3">
                  <c:v>22.5</c:v>
                </c:pt>
                <c:pt idx="4">
                  <c:v>24</c:v>
                </c:pt>
                <c:pt idx="5">
                  <c:v>28</c:v>
                </c:pt>
                <c:pt idx="6">
                  <c:v>32</c:v>
                </c:pt>
                <c:pt idx="7">
                  <c:v>20.9</c:v>
                </c:pt>
                <c:pt idx="8">
                  <c:v>22</c:v>
                </c:pt>
                <c:pt idx="9">
                  <c:v>21.5</c:v>
                </c:pt>
                <c:pt idx="10">
                  <c:v>32</c:v>
                </c:pt>
                <c:pt idx="11">
                  <c:v>35</c:v>
                </c:pt>
                <c:pt idx="12">
                  <c:v>24</c:v>
                </c:pt>
                <c:pt idx="13">
                  <c:v>37.9</c:v>
                </c:pt>
                <c:pt idx="14">
                  <c:v>27.5</c:v>
                </c:pt>
              </c:numCache>
            </c:numRef>
          </c:xVal>
          <c:yVal>
            <c:numRef>
              <c:f>Квартиры!$C$3:$Q$3</c:f>
              <c:numCache>
                <c:formatCode>General</c:formatCode>
                <c:ptCount val="15"/>
                <c:pt idx="0">
                  <c:v>33</c:v>
                </c:pt>
                <c:pt idx="1">
                  <c:v>40</c:v>
                </c:pt>
                <c:pt idx="2">
                  <c:v>36</c:v>
                </c:pt>
                <c:pt idx="3">
                  <c:v>60</c:v>
                </c:pt>
                <c:pt idx="4">
                  <c:v>55</c:v>
                </c:pt>
                <c:pt idx="5">
                  <c:v>80</c:v>
                </c:pt>
                <c:pt idx="6">
                  <c:v>95</c:v>
                </c:pt>
                <c:pt idx="7">
                  <c:v>70</c:v>
                </c:pt>
                <c:pt idx="8">
                  <c:v>46</c:v>
                </c:pt>
                <c:pt idx="9">
                  <c:v>53</c:v>
                </c:pt>
                <c:pt idx="10">
                  <c:v>95</c:v>
                </c:pt>
                <c:pt idx="11">
                  <c:v>75</c:v>
                </c:pt>
                <c:pt idx="12">
                  <c:v>63</c:v>
                </c:pt>
                <c:pt idx="13">
                  <c:v>112</c:v>
                </c:pt>
                <c:pt idx="1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52-4791-8D46-374A6612A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606336"/>
        <c:axId val="1808607296"/>
      </c:scatterChart>
      <c:valAx>
        <c:axId val="18086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8607296"/>
        <c:crosses val="autoZero"/>
        <c:crossBetween val="midCat"/>
      </c:valAx>
      <c:valAx>
        <c:axId val="18086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86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2.png"/><Relationship Id="rId21" Type="http://schemas.openxmlformats.org/officeDocument/2006/relationships/image" Target="../media/image20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2</xdr:row>
      <xdr:rowOff>9525</xdr:rowOff>
    </xdr:from>
    <xdr:to>
      <xdr:col>25</xdr:col>
      <xdr:colOff>333375</xdr:colOff>
      <xdr:row>16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34E4F77-EEEF-1DF3-C4D4-E598859BB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28575</xdr:colOff>
      <xdr:row>18</xdr:row>
      <xdr:rowOff>9525</xdr:rowOff>
    </xdr:from>
    <xdr:to>
      <xdr:col>28</xdr:col>
      <xdr:colOff>286637</xdr:colOff>
      <xdr:row>22</xdr:row>
      <xdr:rowOff>171580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6423794-D30C-0D7E-F5A6-1A15D602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1375" y="3457575"/>
          <a:ext cx="6354062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27</xdr:row>
      <xdr:rowOff>19050</xdr:rowOff>
    </xdr:from>
    <xdr:to>
      <xdr:col>7</xdr:col>
      <xdr:colOff>381565</xdr:colOff>
      <xdr:row>34</xdr:row>
      <xdr:rowOff>133552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C5917DC-1ECF-884F-701B-AD1CDBF72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5200650"/>
          <a:ext cx="4048690" cy="1448002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37</xdr:row>
      <xdr:rowOff>0</xdr:rowOff>
    </xdr:from>
    <xdr:to>
      <xdr:col>3</xdr:col>
      <xdr:colOff>581278</xdr:colOff>
      <xdr:row>39</xdr:row>
      <xdr:rowOff>28632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7F954B4-CC45-3000-1DEC-5BDA16356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7086600"/>
          <a:ext cx="1810003" cy="4096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104775</xdr:rowOff>
    </xdr:from>
    <xdr:to>
      <xdr:col>5</xdr:col>
      <xdr:colOff>19393</xdr:colOff>
      <xdr:row>44</xdr:row>
      <xdr:rowOff>142960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257328D-C4ED-DC85-53C6-CA9BF49D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7953375"/>
          <a:ext cx="2457793" cy="60968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48</xdr:row>
      <xdr:rowOff>28575</xdr:rowOff>
    </xdr:from>
    <xdr:to>
      <xdr:col>9</xdr:col>
      <xdr:colOff>581788</xdr:colOff>
      <xdr:row>54</xdr:row>
      <xdr:rowOff>156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853E631-2C7E-3BEE-7C8F-36538A2D2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" y="9210675"/>
          <a:ext cx="5468113" cy="111458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38100</xdr:rowOff>
    </xdr:from>
    <xdr:to>
      <xdr:col>10</xdr:col>
      <xdr:colOff>219865</xdr:colOff>
      <xdr:row>63</xdr:row>
      <xdr:rowOff>181128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1CA4A26-966F-DC8C-68CC-DD570EB6B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7225" y="11125200"/>
          <a:ext cx="5658640" cy="1095528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58</xdr:row>
      <xdr:rowOff>19050</xdr:rowOff>
    </xdr:from>
    <xdr:to>
      <xdr:col>12</xdr:col>
      <xdr:colOff>257349</xdr:colOff>
      <xdr:row>60</xdr:row>
      <xdr:rowOff>114366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8EC4418-DA6C-CA1B-5C53-DCC067D3C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24600" y="11106150"/>
          <a:ext cx="1247949" cy="476316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60</xdr:row>
      <xdr:rowOff>114300</xdr:rowOff>
    </xdr:from>
    <xdr:to>
      <xdr:col>12</xdr:col>
      <xdr:colOff>219240</xdr:colOff>
      <xdr:row>62</xdr:row>
      <xdr:rowOff>181037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8C5F6CF3-7D3E-CC4F-95E5-7EDF30F40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53175" y="11582400"/>
          <a:ext cx="1181265" cy="447737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64</xdr:row>
      <xdr:rowOff>133350</xdr:rowOff>
    </xdr:from>
    <xdr:to>
      <xdr:col>1</xdr:col>
      <xdr:colOff>400085</xdr:colOff>
      <xdr:row>65</xdr:row>
      <xdr:rowOff>181008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14B9A61-3199-E756-26C9-47F72A081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12363450"/>
          <a:ext cx="247685" cy="238158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66</xdr:row>
      <xdr:rowOff>38100</xdr:rowOff>
    </xdr:from>
    <xdr:to>
      <xdr:col>1</xdr:col>
      <xdr:colOff>381029</xdr:colOff>
      <xdr:row>67</xdr:row>
      <xdr:rowOff>66706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341B310B-0EC0-CEE4-C836-9BC4B2093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1050" y="12649200"/>
          <a:ext cx="209579" cy="21910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68</xdr:row>
      <xdr:rowOff>19050</xdr:rowOff>
    </xdr:from>
    <xdr:to>
      <xdr:col>9</xdr:col>
      <xdr:colOff>581781</xdr:colOff>
      <xdr:row>72</xdr:row>
      <xdr:rowOff>142999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4283ECB-383C-4CE8-3CC9-9EC71113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7700" y="13011150"/>
          <a:ext cx="5420481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76</xdr:row>
      <xdr:rowOff>9525</xdr:rowOff>
    </xdr:from>
    <xdr:to>
      <xdr:col>10</xdr:col>
      <xdr:colOff>760</xdr:colOff>
      <xdr:row>84</xdr:row>
      <xdr:rowOff>105001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994EBF88-B52D-2C0B-2680-070F43351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47700" y="14525625"/>
          <a:ext cx="5449060" cy="161947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85</xdr:row>
      <xdr:rowOff>0</xdr:rowOff>
    </xdr:from>
    <xdr:to>
      <xdr:col>3</xdr:col>
      <xdr:colOff>95432</xdr:colOff>
      <xdr:row>88</xdr:row>
      <xdr:rowOff>171554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1C9C398-9706-9754-A281-8158DAED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9125" y="16230600"/>
          <a:ext cx="1305107" cy="743054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86</xdr:row>
      <xdr:rowOff>133350</xdr:rowOff>
    </xdr:from>
    <xdr:to>
      <xdr:col>5</xdr:col>
      <xdr:colOff>133450</xdr:colOff>
      <xdr:row>88</xdr:row>
      <xdr:rowOff>76245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34571AF3-D38B-02D9-C9DD-E4AE95B1C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66975" y="16554450"/>
          <a:ext cx="714475" cy="323895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76</xdr:row>
      <xdr:rowOff>19050</xdr:rowOff>
    </xdr:from>
    <xdr:to>
      <xdr:col>19</xdr:col>
      <xdr:colOff>410312</xdr:colOff>
      <xdr:row>90</xdr:row>
      <xdr:rowOff>57528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9E6F3DDE-9388-18F2-22F0-FB6BCA116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15125" y="14535150"/>
          <a:ext cx="5277587" cy="2705478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90</xdr:row>
      <xdr:rowOff>171450</xdr:rowOff>
    </xdr:from>
    <xdr:to>
      <xdr:col>21</xdr:col>
      <xdr:colOff>362672</xdr:colOff>
      <xdr:row>94</xdr:row>
      <xdr:rowOff>95346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91865990-64DC-6C11-EF10-3ED9B84B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1475" y="17354550"/>
          <a:ext cx="5172797" cy="68589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99</xdr:row>
      <xdr:rowOff>0</xdr:rowOff>
    </xdr:from>
    <xdr:to>
      <xdr:col>9</xdr:col>
      <xdr:colOff>410309</xdr:colOff>
      <xdr:row>107</xdr:row>
      <xdr:rowOff>57371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3FA8E9C-D637-97B4-26C4-002FFEADF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8175" y="18897600"/>
          <a:ext cx="5258534" cy="1581371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98</xdr:row>
      <xdr:rowOff>152400</xdr:rowOff>
    </xdr:from>
    <xdr:to>
      <xdr:col>19</xdr:col>
      <xdr:colOff>67453</xdr:colOff>
      <xdr:row>101</xdr:row>
      <xdr:rowOff>152480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93691DC4-BAEB-9804-192B-CBA4F254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76950" y="18859500"/>
          <a:ext cx="5572903" cy="57158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102</xdr:row>
      <xdr:rowOff>123825</xdr:rowOff>
    </xdr:from>
    <xdr:to>
      <xdr:col>12</xdr:col>
      <xdr:colOff>457430</xdr:colOff>
      <xdr:row>105</xdr:row>
      <xdr:rowOff>66747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4DB666D7-FC91-89CE-F580-E9748B6C7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124575" y="19592925"/>
          <a:ext cx="1648055" cy="514422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104</xdr:row>
      <xdr:rowOff>47625</xdr:rowOff>
    </xdr:from>
    <xdr:to>
      <xdr:col>16</xdr:col>
      <xdr:colOff>181166</xdr:colOff>
      <xdr:row>105</xdr:row>
      <xdr:rowOff>123862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36129161-CD13-CAED-CF20-3D0099708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62975" y="19897725"/>
          <a:ext cx="1371791" cy="266737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106</xdr:row>
      <xdr:rowOff>9525</xdr:rowOff>
    </xdr:from>
    <xdr:to>
      <xdr:col>18</xdr:col>
      <xdr:colOff>286460</xdr:colOff>
      <xdr:row>108</xdr:row>
      <xdr:rowOff>85789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C37D5B8C-0D05-1105-E58C-094479E91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72200" y="20240625"/>
          <a:ext cx="5087060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114</xdr:row>
      <xdr:rowOff>142875</xdr:rowOff>
    </xdr:from>
    <xdr:to>
      <xdr:col>3</xdr:col>
      <xdr:colOff>600328</xdr:colOff>
      <xdr:row>116</xdr:row>
      <xdr:rowOff>171507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BF8D7D35-94E2-47FB-A670-617DDAFF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21917025"/>
          <a:ext cx="1810003" cy="409632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119</xdr:row>
      <xdr:rowOff>133350</xdr:rowOff>
    </xdr:from>
    <xdr:to>
      <xdr:col>9</xdr:col>
      <xdr:colOff>57841</xdr:colOff>
      <xdr:row>122</xdr:row>
      <xdr:rowOff>38166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112897BE-8CB6-401A-9244-D3B026EBB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0550" y="22860000"/>
          <a:ext cx="4953691" cy="476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123825</xdr:rowOff>
    </xdr:from>
    <xdr:to>
      <xdr:col>5</xdr:col>
      <xdr:colOff>38440</xdr:colOff>
      <xdr:row>12</xdr:row>
      <xdr:rowOff>142957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D0EF4B-0699-9851-16E5-11E62C2C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838325"/>
          <a:ext cx="2438740" cy="59063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5</xdr:row>
      <xdr:rowOff>47625</xdr:rowOff>
    </xdr:from>
    <xdr:to>
      <xdr:col>3</xdr:col>
      <xdr:colOff>381222</xdr:colOff>
      <xdr:row>7</xdr:row>
      <xdr:rowOff>171520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4164845-F61D-73CD-AA8F-DB3399F1F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1000125"/>
          <a:ext cx="1590897" cy="50489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15</xdr:row>
      <xdr:rowOff>180975</xdr:rowOff>
    </xdr:from>
    <xdr:to>
      <xdr:col>5</xdr:col>
      <xdr:colOff>552866</xdr:colOff>
      <xdr:row>18</xdr:row>
      <xdr:rowOff>171528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F0ADA67-C121-EAE2-6B63-C9862545F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3038475"/>
          <a:ext cx="2981741" cy="56205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28575</xdr:rowOff>
    </xdr:from>
    <xdr:to>
      <xdr:col>4</xdr:col>
      <xdr:colOff>209829</xdr:colOff>
      <xdr:row>25</xdr:row>
      <xdr:rowOff>9602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13F2334-B1B6-911A-6CD9-D14A091D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4219575"/>
          <a:ext cx="2000529" cy="552527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44</xdr:row>
      <xdr:rowOff>180975</xdr:rowOff>
    </xdr:from>
    <xdr:to>
      <xdr:col>10</xdr:col>
      <xdr:colOff>477089</xdr:colOff>
      <xdr:row>51</xdr:row>
      <xdr:rowOff>66845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4CF42D2-0503-5D41-E494-DDA3BE35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" y="8601075"/>
          <a:ext cx="6011114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54</xdr:row>
      <xdr:rowOff>38100</xdr:rowOff>
    </xdr:from>
    <xdr:to>
      <xdr:col>4</xdr:col>
      <xdr:colOff>324145</xdr:colOff>
      <xdr:row>57</xdr:row>
      <xdr:rowOff>57232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99F4D4D-EBA7-5A77-4ED2-B37A58AB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700" y="10363200"/>
          <a:ext cx="2114845" cy="59063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59</xdr:row>
      <xdr:rowOff>57150</xdr:rowOff>
    </xdr:from>
    <xdr:to>
      <xdr:col>6</xdr:col>
      <xdr:colOff>67107</xdr:colOff>
      <xdr:row>62</xdr:row>
      <xdr:rowOff>142967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AAEC44D-BA85-AFD0-BC92-4E629D357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50" y="11334750"/>
          <a:ext cx="3096057" cy="65731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66</xdr:row>
      <xdr:rowOff>38100</xdr:rowOff>
    </xdr:from>
    <xdr:to>
      <xdr:col>10</xdr:col>
      <xdr:colOff>238919</xdr:colOff>
      <xdr:row>72</xdr:row>
      <xdr:rowOff>133523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286F549-437D-582F-4250-7B242FB6A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7700" y="12649200"/>
          <a:ext cx="5687219" cy="123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FFFB-92A2-459C-8118-8817F869B78F}">
  <dimension ref="B2:S119"/>
  <sheetViews>
    <sheetView topLeftCell="A94" zoomScaleNormal="100" workbookViewId="0">
      <selection activeCell="J125" sqref="J125"/>
    </sheetView>
  </sheetViews>
  <sheetFormatPr defaultRowHeight="15" x14ac:dyDescent="0.25"/>
  <sheetData>
    <row r="2" spans="2:19" x14ac:dyDescent="0.25">
      <c r="B2" s="1" t="s">
        <v>0</v>
      </c>
      <c r="C2" s="1">
        <v>13.8</v>
      </c>
      <c r="D2" s="1">
        <v>13.8</v>
      </c>
      <c r="E2" s="1">
        <v>14</v>
      </c>
      <c r="F2" s="1">
        <v>22.5</v>
      </c>
      <c r="G2" s="1">
        <v>24</v>
      </c>
      <c r="H2" s="1">
        <v>28</v>
      </c>
      <c r="I2" s="1">
        <v>32</v>
      </c>
      <c r="J2" s="1">
        <v>20.9</v>
      </c>
      <c r="K2" s="1">
        <v>22</v>
      </c>
      <c r="L2" s="1">
        <v>21.5</v>
      </c>
      <c r="M2" s="1">
        <v>32</v>
      </c>
      <c r="N2" s="1">
        <v>35</v>
      </c>
      <c r="O2" s="1">
        <v>24</v>
      </c>
      <c r="P2" s="1">
        <v>37.9</v>
      </c>
      <c r="Q2" s="1">
        <v>27.5</v>
      </c>
      <c r="S2" s="17" t="s">
        <v>16</v>
      </c>
    </row>
    <row r="3" spans="2:19" x14ac:dyDescent="0.25">
      <c r="B3" s="1" t="s">
        <v>1</v>
      </c>
      <c r="C3" s="1">
        <v>33</v>
      </c>
      <c r="D3" s="1">
        <v>40</v>
      </c>
      <c r="E3" s="1">
        <v>36</v>
      </c>
      <c r="F3" s="1">
        <v>60</v>
      </c>
      <c r="G3" s="1">
        <v>55</v>
      </c>
      <c r="H3" s="1">
        <v>80</v>
      </c>
      <c r="I3" s="1">
        <v>95</v>
      </c>
      <c r="J3" s="1">
        <v>70</v>
      </c>
      <c r="K3" s="1">
        <v>46</v>
      </c>
      <c r="L3" s="1">
        <v>53</v>
      </c>
      <c r="M3" s="1">
        <v>95</v>
      </c>
      <c r="N3" s="1">
        <v>75</v>
      </c>
      <c r="O3" s="1">
        <v>63</v>
      </c>
      <c r="P3" s="1">
        <v>112</v>
      </c>
      <c r="Q3" s="1">
        <v>70</v>
      </c>
    </row>
    <row r="5" spans="2:19" ht="15.75" thickBot="1" x14ac:dyDescent="0.3">
      <c r="B5" s="17" t="s">
        <v>18</v>
      </c>
    </row>
    <row r="6" spans="2:19" ht="15.75" thickBot="1" x14ac:dyDescent="0.3">
      <c r="B6" s="14" t="s">
        <v>2</v>
      </c>
      <c r="C6" s="15" t="s">
        <v>0</v>
      </c>
      <c r="D6" s="15" t="s">
        <v>1</v>
      </c>
      <c r="E6" s="15" t="s">
        <v>3</v>
      </c>
      <c r="F6" s="15" t="s">
        <v>4</v>
      </c>
      <c r="G6" s="15" t="s">
        <v>5</v>
      </c>
      <c r="H6" s="15" t="s">
        <v>6</v>
      </c>
      <c r="I6" s="15" t="s">
        <v>7</v>
      </c>
      <c r="J6" s="15" t="s">
        <v>8</v>
      </c>
      <c r="K6" s="16" t="s">
        <v>9</v>
      </c>
      <c r="L6" s="18" t="s">
        <v>31</v>
      </c>
    </row>
    <row r="7" spans="2:19" x14ac:dyDescent="0.25">
      <c r="B7" s="12">
        <v>1</v>
      </c>
      <c r="C7" s="2">
        <v>33</v>
      </c>
      <c r="D7" s="3">
        <v>13.8</v>
      </c>
      <c r="E7" s="3">
        <f>C7^2</f>
        <v>1089</v>
      </c>
      <c r="F7" s="3">
        <f>D7^2</f>
        <v>190.44000000000003</v>
      </c>
      <c r="G7" s="3">
        <f>C7*D7</f>
        <v>455.40000000000003</v>
      </c>
      <c r="H7" s="3">
        <f>$C$27+$C$26*C7</f>
        <v>14.713240000000001</v>
      </c>
      <c r="I7" s="3">
        <f>D7-H7</f>
        <v>-0.91324000000000005</v>
      </c>
      <c r="J7" s="3">
        <f>I7^2</f>
        <v>0.83400729760000014</v>
      </c>
      <c r="K7" s="4">
        <f>ABS(I7/D7)</f>
        <v>6.6176811594202897E-2</v>
      </c>
      <c r="L7" s="12">
        <f>(C7-$C$23)^2</f>
        <v>1067.1111111111113</v>
      </c>
    </row>
    <row r="8" spans="2:19" x14ac:dyDescent="0.25">
      <c r="B8" s="12">
        <v>2</v>
      </c>
      <c r="C8" s="5">
        <v>40</v>
      </c>
      <c r="D8" s="6">
        <v>13.8</v>
      </c>
      <c r="E8" s="6">
        <f t="shared" ref="E8:E23" si="0">C8^2</f>
        <v>1600</v>
      </c>
      <c r="F8" s="6">
        <f t="shared" ref="F8:F23" si="1">D8^2</f>
        <v>190.44000000000003</v>
      </c>
      <c r="G8" s="6">
        <f t="shared" ref="G8:G21" si="2">C8*D8</f>
        <v>552</v>
      </c>
      <c r="H8" s="6">
        <f>$C$27+$C$26*C8</f>
        <v>16.8215</v>
      </c>
      <c r="I8" s="6">
        <f t="shared" ref="I8:I21" si="3">D8-H8</f>
        <v>-3.0214999999999996</v>
      </c>
      <c r="J8" s="6">
        <f t="shared" ref="J8:J21" si="4">I8^2</f>
        <v>9.1294622499999978</v>
      </c>
      <c r="K8" s="7">
        <f t="shared" ref="K8:K23" si="5">ABS(I8/D8)</f>
        <v>0.21894927536231881</v>
      </c>
      <c r="L8" s="12">
        <f t="shared" ref="L8:L21" si="6">(C8-$C$23)^2</f>
        <v>658.77777777777806</v>
      </c>
    </row>
    <row r="9" spans="2:19" x14ac:dyDescent="0.25">
      <c r="B9" s="12">
        <v>3</v>
      </c>
      <c r="C9" s="5">
        <v>36</v>
      </c>
      <c r="D9" s="6">
        <v>14</v>
      </c>
      <c r="E9" s="6">
        <f t="shared" si="0"/>
        <v>1296</v>
      </c>
      <c r="F9" s="6">
        <f t="shared" si="1"/>
        <v>196</v>
      </c>
      <c r="G9" s="6">
        <f t="shared" si="2"/>
        <v>504</v>
      </c>
      <c r="H9" s="6">
        <f>$C$27+$C$26*C9</f>
        <v>15.61678</v>
      </c>
      <c r="I9" s="6">
        <f t="shared" si="3"/>
        <v>-1.6167800000000003</v>
      </c>
      <c r="J9" s="6">
        <f t="shared" si="4"/>
        <v>2.6139775684000011</v>
      </c>
      <c r="K9" s="7">
        <f t="shared" si="5"/>
        <v>0.11548428571428573</v>
      </c>
      <c r="L9" s="12">
        <f t="shared" si="6"/>
        <v>880.11111111111143</v>
      </c>
    </row>
    <row r="10" spans="2:19" x14ac:dyDescent="0.25">
      <c r="B10" s="12">
        <v>4</v>
      </c>
      <c r="C10" s="5">
        <v>60</v>
      </c>
      <c r="D10" s="6">
        <v>22.5</v>
      </c>
      <c r="E10" s="6">
        <f t="shared" si="0"/>
        <v>3600</v>
      </c>
      <c r="F10" s="6">
        <f t="shared" si="1"/>
        <v>506.25</v>
      </c>
      <c r="G10" s="6">
        <f t="shared" si="2"/>
        <v>1350</v>
      </c>
      <c r="H10" s="6">
        <f>$C$27+$C$26*C10</f>
        <v>22.845099999999999</v>
      </c>
      <c r="I10" s="6">
        <f t="shared" si="3"/>
        <v>-0.34509999999999863</v>
      </c>
      <c r="J10" s="6">
        <f t="shared" si="4"/>
        <v>0.11909400999999906</v>
      </c>
      <c r="K10" s="7">
        <f t="shared" si="5"/>
        <v>1.5337777777777718E-2</v>
      </c>
      <c r="L10" s="12">
        <f t="shared" si="6"/>
        <v>32.111111111111164</v>
      </c>
    </row>
    <row r="11" spans="2:19" x14ac:dyDescent="0.25">
      <c r="B11" s="12">
        <v>5</v>
      </c>
      <c r="C11" s="5">
        <v>55</v>
      </c>
      <c r="D11" s="6">
        <v>24</v>
      </c>
      <c r="E11" s="6">
        <f t="shared" si="0"/>
        <v>3025</v>
      </c>
      <c r="F11" s="6">
        <f t="shared" si="1"/>
        <v>576</v>
      </c>
      <c r="G11" s="6">
        <f t="shared" si="2"/>
        <v>1320</v>
      </c>
      <c r="H11" s="6">
        <f>$C$27+$C$26*C11</f>
        <v>21.339200000000002</v>
      </c>
      <c r="I11" s="6">
        <f t="shared" si="3"/>
        <v>2.6607999999999983</v>
      </c>
      <c r="J11" s="6">
        <f t="shared" si="4"/>
        <v>7.0798566399999912</v>
      </c>
      <c r="K11" s="7">
        <f t="shared" si="5"/>
        <v>0.1108666666666666</v>
      </c>
      <c r="L11" s="12">
        <f t="shared" si="6"/>
        <v>113.77777777777789</v>
      </c>
    </row>
    <row r="12" spans="2:19" x14ac:dyDescent="0.25">
      <c r="B12" s="12">
        <v>6</v>
      </c>
      <c r="C12" s="5">
        <v>80</v>
      </c>
      <c r="D12" s="6">
        <v>28</v>
      </c>
      <c r="E12" s="6">
        <f t="shared" si="0"/>
        <v>6400</v>
      </c>
      <c r="F12" s="6">
        <f t="shared" si="1"/>
        <v>784</v>
      </c>
      <c r="G12" s="6">
        <f t="shared" si="2"/>
        <v>2240</v>
      </c>
      <c r="H12" s="6">
        <f>$C$27+$C$26*C12</f>
        <v>28.8687</v>
      </c>
      <c r="I12" s="6">
        <f t="shared" si="3"/>
        <v>-0.86870000000000047</v>
      </c>
      <c r="J12" s="6">
        <f t="shared" si="4"/>
        <v>0.75463969000000086</v>
      </c>
      <c r="K12" s="7">
        <f t="shared" si="5"/>
        <v>3.1025000000000018E-2</v>
      </c>
      <c r="L12" s="12">
        <f t="shared" si="6"/>
        <v>205.44444444444431</v>
      </c>
    </row>
    <row r="13" spans="2:19" x14ac:dyDescent="0.25">
      <c r="B13" s="12">
        <v>7</v>
      </c>
      <c r="C13" s="5">
        <v>95</v>
      </c>
      <c r="D13" s="6">
        <v>32</v>
      </c>
      <c r="E13" s="6">
        <f t="shared" si="0"/>
        <v>9025</v>
      </c>
      <c r="F13" s="6">
        <f t="shared" si="1"/>
        <v>1024</v>
      </c>
      <c r="G13" s="6">
        <f t="shared" si="2"/>
        <v>3040</v>
      </c>
      <c r="H13" s="6">
        <f>$C$27+$C$26*C13</f>
        <v>33.386400000000002</v>
      </c>
      <c r="I13" s="6">
        <f t="shared" si="3"/>
        <v>-1.3864000000000019</v>
      </c>
      <c r="J13" s="6">
        <f t="shared" si="4"/>
        <v>1.9221049600000051</v>
      </c>
      <c r="K13" s="7">
        <f t="shared" si="5"/>
        <v>4.3325000000000058E-2</v>
      </c>
      <c r="L13" s="12">
        <f t="shared" si="6"/>
        <v>860.44444444444412</v>
      </c>
    </row>
    <row r="14" spans="2:19" x14ac:dyDescent="0.25">
      <c r="B14" s="12">
        <v>8</v>
      </c>
      <c r="C14" s="5">
        <v>70</v>
      </c>
      <c r="D14" s="6">
        <v>20.9</v>
      </c>
      <c r="E14" s="6">
        <f t="shared" si="0"/>
        <v>4900</v>
      </c>
      <c r="F14" s="6">
        <f t="shared" si="1"/>
        <v>436.80999999999995</v>
      </c>
      <c r="G14" s="6">
        <f t="shared" si="2"/>
        <v>1463</v>
      </c>
      <c r="H14" s="6">
        <f>$C$27+$C$26*C14</f>
        <v>25.8569</v>
      </c>
      <c r="I14" s="6">
        <f t="shared" si="3"/>
        <v>-4.956900000000001</v>
      </c>
      <c r="J14" s="6">
        <f t="shared" si="4"/>
        <v>24.570857610000008</v>
      </c>
      <c r="K14" s="7">
        <f t="shared" si="5"/>
        <v>0.23717224880382781</v>
      </c>
      <c r="L14" s="12">
        <f t="shared" si="6"/>
        <v>18.777777777777736</v>
      </c>
    </row>
    <row r="15" spans="2:19" x14ac:dyDescent="0.25">
      <c r="B15" s="12">
        <v>9</v>
      </c>
      <c r="C15" s="5">
        <v>48</v>
      </c>
      <c r="D15" s="6">
        <v>22</v>
      </c>
      <c r="E15" s="6">
        <f t="shared" si="0"/>
        <v>2304</v>
      </c>
      <c r="F15" s="6">
        <f t="shared" si="1"/>
        <v>484</v>
      </c>
      <c r="G15" s="6">
        <f t="shared" si="2"/>
        <v>1056</v>
      </c>
      <c r="H15" s="6">
        <f>$C$27+$C$26*C15</f>
        <v>19.23094</v>
      </c>
      <c r="I15" s="6">
        <f t="shared" si="3"/>
        <v>2.7690599999999996</v>
      </c>
      <c r="J15" s="6">
        <f t="shared" si="4"/>
        <v>7.6676932835999976</v>
      </c>
      <c r="K15" s="7">
        <f t="shared" si="5"/>
        <v>0.12586636363636361</v>
      </c>
      <c r="L15" s="12">
        <f t="shared" si="6"/>
        <v>312.11111111111126</v>
      </c>
    </row>
    <row r="16" spans="2:19" x14ac:dyDescent="0.25">
      <c r="B16" s="12">
        <v>10</v>
      </c>
      <c r="C16" s="5">
        <v>53</v>
      </c>
      <c r="D16" s="6">
        <v>21.5</v>
      </c>
      <c r="E16" s="6">
        <f t="shared" si="0"/>
        <v>2809</v>
      </c>
      <c r="F16" s="6">
        <f t="shared" si="1"/>
        <v>462.25</v>
      </c>
      <c r="G16" s="6">
        <f t="shared" si="2"/>
        <v>1139.5</v>
      </c>
      <c r="H16" s="6">
        <f>$C$27+$C$26*C16</f>
        <v>20.736840000000001</v>
      </c>
      <c r="I16" s="6">
        <f t="shared" si="3"/>
        <v>0.76315999999999917</v>
      </c>
      <c r="J16" s="6">
        <f t="shared" si="4"/>
        <v>0.58241318559999877</v>
      </c>
      <c r="K16" s="7">
        <f t="shared" si="5"/>
        <v>3.5495813953488331E-2</v>
      </c>
      <c r="L16" s="12">
        <f t="shared" si="6"/>
        <v>160.44444444444457</v>
      </c>
    </row>
    <row r="17" spans="2:19" x14ac:dyDescent="0.25">
      <c r="B17" s="12">
        <v>11</v>
      </c>
      <c r="C17" s="5">
        <v>95</v>
      </c>
      <c r="D17" s="6">
        <v>32</v>
      </c>
      <c r="E17" s="6">
        <f t="shared" si="0"/>
        <v>9025</v>
      </c>
      <c r="F17" s="6">
        <f t="shared" si="1"/>
        <v>1024</v>
      </c>
      <c r="G17" s="6">
        <f t="shared" si="2"/>
        <v>3040</v>
      </c>
      <c r="H17" s="6">
        <f>$C$27+$C$26*C17</f>
        <v>33.386400000000002</v>
      </c>
      <c r="I17" s="6">
        <f t="shared" si="3"/>
        <v>-1.3864000000000019</v>
      </c>
      <c r="J17" s="6">
        <f t="shared" si="4"/>
        <v>1.9221049600000051</v>
      </c>
      <c r="K17" s="7">
        <f t="shared" si="5"/>
        <v>4.3325000000000058E-2</v>
      </c>
      <c r="L17" s="12">
        <f t="shared" si="6"/>
        <v>860.44444444444412</v>
      </c>
    </row>
    <row r="18" spans="2:19" x14ac:dyDescent="0.25">
      <c r="B18" s="12">
        <v>12</v>
      </c>
      <c r="C18" s="5">
        <v>75</v>
      </c>
      <c r="D18" s="6">
        <v>35</v>
      </c>
      <c r="E18" s="6">
        <f t="shared" si="0"/>
        <v>5625</v>
      </c>
      <c r="F18" s="6">
        <f t="shared" si="1"/>
        <v>1225</v>
      </c>
      <c r="G18" s="6">
        <f t="shared" si="2"/>
        <v>2625</v>
      </c>
      <c r="H18" s="6">
        <f>$C$27+$C$26*C18</f>
        <v>27.3628</v>
      </c>
      <c r="I18" s="6">
        <f t="shared" si="3"/>
        <v>7.6372</v>
      </c>
      <c r="J18" s="6">
        <f t="shared" si="4"/>
        <v>58.326823840000003</v>
      </c>
      <c r="K18" s="7">
        <f t="shared" si="5"/>
        <v>0.21820571428571428</v>
      </c>
      <c r="L18" s="12">
        <f t="shared" si="6"/>
        <v>87.111111111111029</v>
      </c>
      <c r="S18" s="17" t="s">
        <v>17</v>
      </c>
    </row>
    <row r="19" spans="2:19" x14ac:dyDescent="0.25">
      <c r="B19" s="12">
        <v>13</v>
      </c>
      <c r="C19" s="5">
        <v>63</v>
      </c>
      <c r="D19" s="6">
        <v>24</v>
      </c>
      <c r="E19" s="6">
        <f t="shared" si="0"/>
        <v>3969</v>
      </c>
      <c r="F19" s="6">
        <f t="shared" si="1"/>
        <v>576</v>
      </c>
      <c r="G19" s="6">
        <f t="shared" si="2"/>
        <v>1512</v>
      </c>
      <c r="H19" s="6">
        <f>$C$27+$C$26*C19</f>
        <v>23.748640000000002</v>
      </c>
      <c r="I19" s="6">
        <f t="shared" si="3"/>
        <v>0.25135999999999825</v>
      </c>
      <c r="J19" s="6">
        <f t="shared" si="4"/>
        <v>6.3181849599999118E-2</v>
      </c>
      <c r="K19" s="7">
        <f t="shared" si="5"/>
        <v>1.047333333333326E-2</v>
      </c>
      <c r="L19" s="12">
        <f t="shared" si="6"/>
        <v>7.1111111111111365</v>
      </c>
    </row>
    <row r="20" spans="2:19" x14ac:dyDescent="0.25">
      <c r="B20" s="12">
        <v>14</v>
      </c>
      <c r="C20" s="5">
        <v>112</v>
      </c>
      <c r="D20" s="6">
        <v>37.9</v>
      </c>
      <c r="E20" s="6">
        <f t="shared" si="0"/>
        <v>12544</v>
      </c>
      <c r="F20" s="6">
        <f t="shared" si="1"/>
        <v>1436.4099999999999</v>
      </c>
      <c r="G20" s="6">
        <f t="shared" si="2"/>
        <v>4244.8</v>
      </c>
      <c r="H20" s="6">
        <f>$C$27+$C$26*C20</f>
        <v>38.506460000000004</v>
      </c>
      <c r="I20" s="6">
        <f t="shared" si="3"/>
        <v>-0.60646000000000555</v>
      </c>
      <c r="J20" s="6">
        <f t="shared" si="4"/>
        <v>0.36779373160000672</v>
      </c>
      <c r="K20" s="7">
        <f t="shared" si="5"/>
        <v>1.6001583113456612E-2</v>
      </c>
      <c r="L20" s="12">
        <f t="shared" si="6"/>
        <v>2146.7777777777774</v>
      </c>
    </row>
    <row r="21" spans="2:19" ht="15.75" thickBot="1" x14ac:dyDescent="0.3">
      <c r="B21" s="13">
        <v>15</v>
      </c>
      <c r="C21" s="8">
        <v>70</v>
      </c>
      <c r="D21" s="9">
        <v>27.5</v>
      </c>
      <c r="E21" s="9">
        <f t="shared" si="0"/>
        <v>4900</v>
      </c>
      <c r="F21" s="9">
        <f t="shared" si="1"/>
        <v>756.25</v>
      </c>
      <c r="G21" s="9">
        <f t="shared" si="2"/>
        <v>1925</v>
      </c>
      <c r="H21" s="9">
        <f>$C$27+$C$26*C21</f>
        <v>25.8569</v>
      </c>
      <c r="I21" s="9">
        <f t="shared" si="3"/>
        <v>1.6431000000000004</v>
      </c>
      <c r="J21" s="9">
        <f t="shared" si="4"/>
        <v>2.6997776100000013</v>
      </c>
      <c r="K21" s="10">
        <f t="shared" si="5"/>
        <v>5.9749090909090925E-2</v>
      </c>
      <c r="L21" s="12">
        <f t="shared" si="6"/>
        <v>18.777777777777736</v>
      </c>
    </row>
    <row r="22" spans="2:19" x14ac:dyDescent="0.25">
      <c r="B22" s="12" t="s">
        <v>10</v>
      </c>
      <c r="C22" s="6">
        <f>SUM(C7:C21)</f>
        <v>985</v>
      </c>
      <c r="D22" s="6">
        <f>SUM(D7:D21)</f>
        <v>368.9</v>
      </c>
      <c r="E22" s="6"/>
      <c r="F22" s="6"/>
      <c r="G22" s="6"/>
      <c r="H22" s="6"/>
      <c r="I22" s="6">
        <f>SUM(I7:I21)</f>
        <v>0.62319999999998643</v>
      </c>
      <c r="J22" s="6">
        <f>SUM(J7:J21)</f>
        <v>118.6537884864</v>
      </c>
      <c r="K22" s="7">
        <f>SUM(K7:K21)</f>
        <v>1.3474539651505268</v>
      </c>
      <c r="L22" s="11">
        <f>SUM(L7:L21)</f>
        <v>7429.333333333333</v>
      </c>
    </row>
    <row r="23" spans="2:19" ht="15.75" thickBot="1" x14ac:dyDescent="0.3">
      <c r="B23" s="13" t="s">
        <v>11</v>
      </c>
      <c r="C23" s="9">
        <f>C22/15</f>
        <v>65.666666666666671</v>
      </c>
      <c r="D23" s="9">
        <f>D22/15</f>
        <v>24.59333333333333</v>
      </c>
      <c r="E23" s="9">
        <f>SUM(E7:E21)/15</f>
        <v>4807.3999999999996</v>
      </c>
      <c r="F23" s="9">
        <f>SUM(F7:F21)/15</f>
        <v>657.85666666666668</v>
      </c>
      <c r="G23" s="9">
        <f>AVERAGE(G7:G21)</f>
        <v>1764.4466666666667</v>
      </c>
      <c r="H23" s="9"/>
      <c r="I23" s="9"/>
      <c r="J23" s="9"/>
      <c r="K23" s="10">
        <f>K22/15</f>
        <v>8.9830264343368452E-2</v>
      </c>
      <c r="L23" s="13"/>
    </row>
    <row r="25" spans="2:19" x14ac:dyDescent="0.25">
      <c r="B25" s="17" t="s">
        <v>19</v>
      </c>
    </row>
    <row r="26" spans="2:19" x14ac:dyDescent="0.25">
      <c r="B26" t="s">
        <v>12</v>
      </c>
      <c r="C26">
        <v>0.30118</v>
      </c>
    </row>
    <row r="27" spans="2:19" x14ac:dyDescent="0.25">
      <c r="B27" t="s">
        <v>13</v>
      </c>
      <c r="C27">
        <v>4.7743000000000002</v>
      </c>
    </row>
    <row r="37" spans="2:4" x14ac:dyDescent="0.25">
      <c r="B37" s="17" t="s">
        <v>20</v>
      </c>
    </row>
    <row r="41" spans="2:4" x14ac:dyDescent="0.25">
      <c r="B41" s="17" t="s">
        <v>21</v>
      </c>
    </row>
    <row r="46" spans="2:4" x14ac:dyDescent="0.25">
      <c r="B46" t="s">
        <v>14</v>
      </c>
      <c r="C46">
        <f>1/15 * K22 * 100</f>
        <v>8.9830264343368444</v>
      </c>
      <c r="D46" t="s">
        <v>15</v>
      </c>
    </row>
    <row r="48" spans="2:4" x14ac:dyDescent="0.25">
      <c r="B48" s="17" t="s">
        <v>22</v>
      </c>
    </row>
    <row r="56" spans="2:5" x14ac:dyDescent="0.25">
      <c r="B56" t="s">
        <v>23</v>
      </c>
      <c r="C56">
        <f>C26*C23/D23</f>
        <v>0.80418080780699397</v>
      </c>
      <c r="D56" t="s">
        <v>15</v>
      </c>
      <c r="E56" t="s">
        <v>24</v>
      </c>
    </row>
    <row r="58" spans="2:5" x14ac:dyDescent="0.25">
      <c r="B58" s="17" t="s">
        <v>25</v>
      </c>
    </row>
    <row r="66" spans="2:6" x14ac:dyDescent="0.25">
      <c r="C66">
        <f>SQRT(E23-C23^2)</f>
        <v>22.255086809286734</v>
      </c>
      <c r="E66" t="s">
        <v>26</v>
      </c>
      <c r="F66">
        <f>(G23-C23*D23)/(C66*C67)</f>
        <v>0.92241831519871587</v>
      </c>
    </row>
    <row r="67" spans="2:6" x14ac:dyDescent="0.25">
      <c r="C67">
        <f>SQRT(F23-D23^2)</f>
        <v>7.2818007540870298</v>
      </c>
      <c r="E67" t="s">
        <v>27</v>
      </c>
      <c r="F67">
        <f>F66^2</f>
        <v>0.85085554821403753</v>
      </c>
    </row>
    <row r="76" spans="2:6" x14ac:dyDescent="0.25">
      <c r="B76" s="17" t="s">
        <v>28</v>
      </c>
    </row>
    <row r="86" spans="2:13" x14ac:dyDescent="0.25">
      <c r="E86" t="s">
        <v>29</v>
      </c>
      <c r="F86">
        <f>F66/SQRT((1-F67)/(15-2))</f>
        <v>8.6118417889447514</v>
      </c>
    </row>
    <row r="91" spans="2:13" x14ac:dyDescent="0.25">
      <c r="B91" t="s">
        <v>30</v>
      </c>
    </row>
    <row r="92" spans="2:13" x14ac:dyDescent="0.25">
      <c r="L92" t="s">
        <v>32</v>
      </c>
      <c r="M92">
        <f>SQRT((J22)/((13)*L22))</f>
        <v>3.5050499089157465E-2</v>
      </c>
    </row>
    <row r="93" spans="2:13" x14ac:dyDescent="0.25">
      <c r="L93" t="s">
        <v>33</v>
      </c>
      <c r="M93">
        <f>C26/M92</f>
        <v>8.5927449772938367</v>
      </c>
    </row>
    <row r="98" spans="2:16" x14ac:dyDescent="0.25">
      <c r="B98" s="17" t="s">
        <v>34</v>
      </c>
    </row>
    <row r="104" spans="2:16" x14ac:dyDescent="0.25">
      <c r="O104" t="s">
        <v>35</v>
      </c>
      <c r="P104">
        <f>F67/(1-F67)*13</f>
        <v>74.163818997815142</v>
      </c>
    </row>
    <row r="112" spans="2:16" ht="16.5" x14ac:dyDescent="0.35">
      <c r="B112" s="19" t="s">
        <v>36</v>
      </c>
    </row>
    <row r="114" spans="2:4" x14ac:dyDescent="0.25">
      <c r="B114" t="s">
        <v>37</v>
      </c>
      <c r="D114">
        <f>C23*1.2</f>
        <v>78.8</v>
      </c>
    </row>
    <row r="119" spans="2:4" x14ac:dyDescent="0.25">
      <c r="B119" t="s">
        <v>1</v>
      </c>
      <c r="C119">
        <f>C27+C26*78.8</f>
        <v>28.507283999999999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5D53-9E5F-478C-BEE2-5AC2D3D6A5B7}">
  <dimension ref="B2:N65"/>
  <sheetViews>
    <sheetView tabSelected="1" topLeftCell="A33" workbookViewId="0">
      <selection activeCell="F76" sqref="F76"/>
    </sheetView>
  </sheetViews>
  <sheetFormatPr defaultRowHeight="15" x14ac:dyDescent="0.25"/>
  <cols>
    <col min="12" max="12" width="9.140625" customWidth="1"/>
  </cols>
  <sheetData>
    <row r="2" spans="2:14" x14ac:dyDescent="0.25">
      <c r="B2" t="s">
        <v>29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2:14" x14ac:dyDescent="0.25">
      <c r="B3" t="s">
        <v>0</v>
      </c>
      <c r="C3">
        <v>8.4529999999999994</v>
      </c>
      <c r="D3">
        <v>7.6660000000000004</v>
      </c>
      <c r="E3">
        <v>5.0469999999999997</v>
      </c>
      <c r="F3">
        <v>3.6280000000000001</v>
      </c>
      <c r="G3">
        <v>3.464</v>
      </c>
      <c r="H3">
        <v>2.4340000000000002</v>
      </c>
      <c r="I3">
        <v>1.905</v>
      </c>
      <c r="J3">
        <v>1.167</v>
      </c>
      <c r="K3">
        <v>1.1419999999999999</v>
      </c>
      <c r="L3">
        <v>1.028</v>
      </c>
      <c r="M3">
        <v>0.99199999999999999</v>
      </c>
      <c r="N3">
        <v>0.71499999999999997</v>
      </c>
    </row>
    <row r="5" spans="2:14" x14ac:dyDescent="0.25">
      <c r="B5" t="s">
        <v>39</v>
      </c>
    </row>
    <row r="9" spans="2:14" x14ac:dyDescent="0.25">
      <c r="B9" t="s">
        <v>38</v>
      </c>
    </row>
    <row r="15" spans="2:14" x14ac:dyDescent="0.25">
      <c r="B15" t="s">
        <v>40</v>
      </c>
    </row>
    <row r="21" spans="2:11" x14ac:dyDescent="0.25">
      <c r="B21" t="s">
        <v>41</v>
      </c>
    </row>
    <row r="28" spans="2:11" x14ac:dyDescent="0.25">
      <c r="B28" t="s">
        <v>42</v>
      </c>
    </row>
    <row r="29" spans="2:11" ht="15.75" thickBot="1" x14ac:dyDescent="0.3"/>
    <row r="30" spans="2:11" x14ac:dyDescent="0.25">
      <c r="B30" s="11" t="s">
        <v>43</v>
      </c>
      <c r="C30" s="3" t="s">
        <v>44</v>
      </c>
      <c r="D30" s="3" t="s">
        <v>45</v>
      </c>
      <c r="E30" s="3" t="s">
        <v>46</v>
      </c>
      <c r="F30" s="3" t="s">
        <v>47</v>
      </c>
      <c r="G30" s="3" t="s">
        <v>48</v>
      </c>
      <c r="H30" s="3" t="s">
        <v>49</v>
      </c>
      <c r="I30" s="3" t="s">
        <v>50</v>
      </c>
      <c r="J30" s="3" t="s">
        <v>51</v>
      </c>
      <c r="K30" s="4" t="s">
        <v>52</v>
      </c>
    </row>
    <row r="31" spans="2:11" x14ac:dyDescent="0.25">
      <c r="B31" s="12">
        <v>1</v>
      </c>
      <c r="C31" s="6">
        <v>1</v>
      </c>
      <c r="D31" s="6">
        <v>8.4529999999999994</v>
      </c>
      <c r="E31" s="6">
        <f>LN(D31)</f>
        <v>2.1345214079467905</v>
      </c>
      <c r="F31" s="6">
        <f>C31^2</f>
        <v>1</v>
      </c>
      <c r="G31" s="6">
        <f>E31^2</f>
        <v>4.5561816409831488</v>
      </c>
      <c r="H31" s="6">
        <f>E31*C31</f>
        <v>2.1345214079467905</v>
      </c>
      <c r="I31" s="6">
        <f>2.1-0.166*C31</f>
        <v>1.9340000000000002</v>
      </c>
      <c r="J31" s="6"/>
      <c r="K31" s="7"/>
    </row>
    <row r="32" spans="2:11" x14ac:dyDescent="0.25">
      <c r="B32" s="12">
        <v>2</v>
      </c>
      <c r="C32" s="6">
        <v>2</v>
      </c>
      <c r="D32" s="6">
        <v>7.6660000000000004</v>
      </c>
      <c r="E32" s="6">
        <f t="shared" ref="E32:E42" si="0">LN(D32)</f>
        <v>2.0367949669583636</v>
      </c>
      <c r="F32" s="6">
        <f>C32^2</f>
        <v>4</v>
      </c>
      <c r="G32" s="6">
        <f>E32^2</f>
        <v>4.1485337374269218</v>
      </c>
      <c r="H32" s="6">
        <f>E32*C32</f>
        <v>4.0735899339167272</v>
      </c>
      <c r="I32" s="6">
        <f t="shared" ref="I32:I41" si="1">2.1-0.166*C32</f>
        <v>1.768</v>
      </c>
      <c r="J32" s="6"/>
      <c r="K32" s="7"/>
    </row>
    <row r="33" spans="2:11" x14ac:dyDescent="0.25">
      <c r="B33" s="12">
        <v>3</v>
      </c>
      <c r="C33" s="6">
        <v>3</v>
      </c>
      <c r="D33" s="6">
        <v>5.0469999999999997</v>
      </c>
      <c r="E33" s="6">
        <f t="shared" si="0"/>
        <v>1.6187940073581253</v>
      </c>
      <c r="F33" s="6">
        <f>C33^2</f>
        <v>9</v>
      </c>
      <c r="G33" s="6">
        <f>E33^2</f>
        <v>2.620494038258578</v>
      </c>
      <c r="H33" s="6">
        <f>E33*C33</f>
        <v>4.8563820220743761</v>
      </c>
      <c r="I33" s="6">
        <f t="shared" si="1"/>
        <v>1.6020000000000001</v>
      </c>
      <c r="J33" s="6"/>
      <c r="K33" s="7"/>
    </row>
    <row r="34" spans="2:11" x14ac:dyDescent="0.25">
      <c r="B34" s="12">
        <v>4</v>
      </c>
      <c r="C34" s="6">
        <v>4</v>
      </c>
      <c r="D34" s="6">
        <v>3.6280000000000001</v>
      </c>
      <c r="E34" s="6">
        <f t="shared" si="0"/>
        <v>1.2886815322528902</v>
      </c>
      <c r="F34" s="6">
        <f>C34^2</f>
        <v>16</v>
      </c>
      <c r="G34" s="6">
        <f>E34^2</f>
        <v>1.6607000915696568</v>
      </c>
      <c r="H34" s="6">
        <f>E34*C34</f>
        <v>5.1547261290115607</v>
      </c>
      <c r="I34" s="6">
        <f t="shared" si="1"/>
        <v>1.4359999999999999</v>
      </c>
      <c r="J34" s="6"/>
      <c r="K34" s="7"/>
    </row>
    <row r="35" spans="2:11" x14ac:dyDescent="0.25">
      <c r="B35" s="12">
        <v>5</v>
      </c>
      <c r="C35" s="6">
        <v>5</v>
      </c>
      <c r="D35" s="6">
        <v>3.464</v>
      </c>
      <c r="E35" s="6">
        <f t="shared" si="0"/>
        <v>1.2424239907001886</v>
      </c>
      <c r="F35" s="6">
        <f>C35^2</f>
        <v>25</v>
      </c>
      <c r="G35" s="6">
        <f>E35^2</f>
        <v>1.5436173726673823</v>
      </c>
      <c r="H35" s="6">
        <f>E35*C35</f>
        <v>6.2121199535009435</v>
      </c>
      <c r="I35" s="6">
        <f t="shared" si="1"/>
        <v>1.27</v>
      </c>
      <c r="J35" s="6"/>
      <c r="K35" s="7"/>
    </row>
    <row r="36" spans="2:11" x14ac:dyDescent="0.25">
      <c r="B36" s="12">
        <v>6</v>
      </c>
      <c r="C36" s="6">
        <v>6</v>
      </c>
      <c r="D36" s="6">
        <v>2.4340000000000002</v>
      </c>
      <c r="E36" s="6">
        <f t="shared" si="0"/>
        <v>0.8895359945653355</v>
      </c>
      <c r="F36" s="6">
        <f>C36^2</f>
        <v>36</v>
      </c>
      <c r="G36" s="6">
        <f>E36^2</f>
        <v>0.79127428562734059</v>
      </c>
      <c r="H36" s="6">
        <f>E36*C36</f>
        <v>5.3372159673920132</v>
      </c>
      <c r="I36" s="6">
        <f t="shared" si="1"/>
        <v>1.1040000000000001</v>
      </c>
      <c r="J36" s="6"/>
      <c r="K36" s="7"/>
    </row>
    <row r="37" spans="2:11" x14ac:dyDescent="0.25">
      <c r="B37" s="12">
        <v>7</v>
      </c>
      <c r="C37" s="6">
        <v>7</v>
      </c>
      <c r="D37" s="6">
        <v>1.905</v>
      </c>
      <c r="E37" s="6">
        <f t="shared" si="0"/>
        <v>0.64448200857866433</v>
      </c>
      <c r="F37" s="6">
        <f>C37^2</f>
        <v>49</v>
      </c>
      <c r="G37" s="6">
        <f>E37^2</f>
        <v>0.41535705938158957</v>
      </c>
      <c r="H37" s="6">
        <f>E37*C37</f>
        <v>4.5113740600506507</v>
      </c>
      <c r="I37" s="6">
        <f t="shared" si="1"/>
        <v>0.93799999999999994</v>
      </c>
      <c r="J37" s="6"/>
      <c r="K37" s="7"/>
    </row>
    <row r="38" spans="2:11" x14ac:dyDescent="0.25">
      <c r="B38" s="21">
        <v>8</v>
      </c>
      <c r="C38" s="20">
        <v>8</v>
      </c>
      <c r="D38" s="6">
        <v>1.167</v>
      </c>
      <c r="E38" s="6">
        <f t="shared" si="0"/>
        <v>0.15443635330441896</v>
      </c>
      <c r="F38" s="6">
        <f>C38^2</f>
        <v>64</v>
      </c>
      <c r="G38" s="6">
        <f>E38^2</f>
        <v>2.3850587221967316E-2</v>
      </c>
      <c r="H38" s="6">
        <f>E38*C38</f>
        <v>1.2354908264353517</v>
      </c>
      <c r="I38" s="6">
        <f t="shared" si="1"/>
        <v>0.77200000000000002</v>
      </c>
      <c r="J38" s="6"/>
      <c r="K38" s="7"/>
    </row>
    <row r="39" spans="2:11" x14ac:dyDescent="0.25">
      <c r="B39" s="12">
        <v>9</v>
      </c>
      <c r="C39" s="6">
        <v>9</v>
      </c>
      <c r="D39" s="6">
        <v>1.1419999999999999</v>
      </c>
      <c r="E39" s="6">
        <f t="shared" si="0"/>
        <v>0.13278111123381839</v>
      </c>
      <c r="F39" s="6">
        <f>C39^2</f>
        <v>81</v>
      </c>
      <c r="G39" s="6">
        <f>E39^2</f>
        <v>1.7630823500487652E-2</v>
      </c>
      <c r="H39" s="6">
        <f>E39*C39</f>
        <v>1.1950300011043655</v>
      </c>
      <c r="I39" s="6">
        <f t="shared" si="1"/>
        <v>0.60600000000000009</v>
      </c>
      <c r="J39" s="6"/>
      <c r="K39" s="7"/>
    </row>
    <row r="40" spans="2:11" x14ac:dyDescent="0.25">
      <c r="B40" s="12">
        <v>10</v>
      </c>
      <c r="C40" s="6">
        <v>10</v>
      </c>
      <c r="D40" s="6">
        <v>1.028</v>
      </c>
      <c r="E40" s="6">
        <f t="shared" si="0"/>
        <v>2.7615167032973391E-2</v>
      </c>
      <c r="F40" s="6">
        <f>C40^2</f>
        <v>100</v>
      </c>
      <c r="G40" s="6">
        <f>E40^2</f>
        <v>7.6259745025902034E-4</v>
      </c>
      <c r="H40" s="6">
        <f>E40*C40</f>
        <v>0.27615167032973392</v>
      </c>
      <c r="I40" s="6">
        <f t="shared" si="1"/>
        <v>0.43999999999999995</v>
      </c>
      <c r="J40" s="6"/>
      <c r="K40" s="7"/>
    </row>
    <row r="41" spans="2:11" x14ac:dyDescent="0.25">
      <c r="B41" s="12">
        <v>11</v>
      </c>
      <c r="C41" s="6">
        <v>11</v>
      </c>
      <c r="D41" s="6">
        <v>0.99199999999999999</v>
      </c>
      <c r="E41" s="6">
        <f t="shared" si="0"/>
        <v>-8.0321716972642666E-3</v>
      </c>
      <c r="F41" s="6">
        <f>C41^2</f>
        <v>121</v>
      </c>
      <c r="G41" s="6">
        <f>E41^2</f>
        <v>6.451578217433313E-5</v>
      </c>
      <c r="H41" s="6">
        <f>E41*C41</f>
        <v>-8.8353888669906927E-2</v>
      </c>
      <c r="I41" s="6">
        <f t="shared" si="1"/>
        <v>0.27400000000000002</v>
      </c>
      <c r="J41" s="6"/>
      <c r="K41" s="7"/>
    </row>
    <row r="42" spans="2:11" ht="15.75" thickBot="1" x14ac:dyDescent="0.3">
      <c r="B42" s="13">
        <v>12</v>
      </c>
      <c r="C42" s="9">
        <v>12</v>
      </c>
      <c r="D42" s="9">
        <v>0.71499999999999997</v>
      </c>
      <c r="E42" s="9">
        <f t="shared" si="0"/>
        <v>-0.33547273628812946</v>
      </c>
      <c r="F42" s="6">
        <f>C42^2</f>
        <v>144</v>
      </c>
      <c r="G42" s="6">
        <f>E42^2</f>
        <v>0.11254195679264485</v>
      </c>
      <c r="H42" s="6">
        <f>E42*C42</f>
        <v>-4.0256728354575539</v>
      </c>
      <c r="I42" s="6">
        <f>2.1-0.166*C42</f>
        <v>0.1080000000000001</v>
      </c>
      <c r="J42" s="9"/>
      <c r="K42" s="10"/>
    </row>
    <row r="43" spans="2:11" ht="15.75" thickBot="1" x14ac:dyDescent="0.3">
      <c r="B43" s="14" t="s">
        <v>53</v>
      </c>
      <c r="C43" s="22">
        <f t="shared" ref="C43:E43" si="2">SUM(C31:C42)</f>
        <v>78</v>
      </c>
      <c r="D43" s="15">
        <f t="shared" si="2"/>
        <v>37.641000000000005</v>
      </c>
      <c r="E43" s="15">
        <f t="shared" si="2"/>
        <v>9.8265616319461735</v>
      </c>
      <c r="F43" s="15">
        <f>SUM(F31:F42)</f>
        <v>650</v>
      </c>
      <c r="G43" s="15">
        <f>SUM(G31:G42)</f>
        <v>15.891008706662152</v>
      </c>
      <c r="H43" s="15">
        <f>SUM(H31:H42)</f>
        <v>30.872575247635048</v>
      </c>
      <c r="I43" s="15">
        <f>SUM(I31:I42)</f>
        <v>12.252000000000002</v>
      </c>
      <c r="J43" s="15">
        <f>SUM(J31:J42)</f>
        <v>0</v>
      </c>
      <c r="K43" s="16">
        <f>SUM(K31:K42)</f>
        <v>0</v>
      </c>
    </row>
    <row r="44" spans="2:11" ht="15.75" thickBot="1" x14ac:dyDescent="0.3">
      <c r="B44" s="13" t="s">
        <v>54</v>
      </c>
      <c r="C44" s="9">
        <f>AVERAGE(C31:C42)</f>
        <v>6.5</v>
      </c>
      <c r="D44" s="9">
        <f>AVERAGE(D31:D42)</f>
        <v>3.1367500000000006</v>
      </c>
      <c r="E44" s="9">
        <f>AVERAGE(E31:E42)</f>
        <v>0.81888013599551446</v>
      </c>
      <c r="F44" s="9">
        <f>AVERAGE(F31:F42)</f>
        <v>54.166666666666664</v>
      </c>
      <c r="G44" s="9">
        <f>AVERAGE(G31:G42)</f>
        <v>1.3242507255551794</v>
      </c>
      <c r="H44" s="9">
        <f>AVERAGE(H31:H42)</f>
        <v>2.5727146039695872</v>
      </c>
      <c r="I44" s="9">
        <f>AVERAGE(I31:I42)</f>
        <v>1.0210000000000001</v>
      </c>
      <c r="J44" s="9" t="e">
        <f>AVERAGE(J31:J42)</f>
        <v>#DIV/0!</v>
      </c>
      <c r="K44" s="10" t="e">
        <f>AVERAGE(K31:K42)</f>
        <v>#DIV/0!</v>
      </c>
    </row>
    <row r="53" spans="2:6" x14ac:dyDescent="0.25">
      <c r="B53" t="s">
        <v>55</v>
      </c>
      <c r="C53">
        <f>2.1</f>
        <v>2.1</v>
      </c>
      <c r="E53" t="s">
        <v>56</v>
      </c>
      <c r="F53">
        <v>-0.16600000000000001</v>
      </c>
    </row>
    <row r="65" spans="2:3" x14ac:dyDescent="0.25">
      <c r="B65" t="s">
        <v>55</v>
      </c>
      <c r="C65">
        <f>EXP(C53)</f>
        <v>8.1661699125676517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Квартиры</vt:lpstr>
      <vt:lpstr>Распад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2026-04-28T14:37:40Z</dcterms:created>
  <dcterms:modified xsi:type="dcterms:W3CDTF">2026-04-28T16:34:26Z</dcterms:modified>
</cp:coreProperties>
</file>