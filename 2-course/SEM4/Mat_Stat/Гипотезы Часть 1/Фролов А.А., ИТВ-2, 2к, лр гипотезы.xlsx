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dre\Desktop\Uni\Portfolio\2-course\SEM4\Mat_Stat\"/>
    </mc:Choice>
  </mc:AlternateContent>
  <xr:revisionPtr revIDLastSave="0" documentId="8_{EB76DB27-7DEF-43FE-9872-18B4121FBF0B}" xr6:coauthVersionLast="47" xr6:coauthVersionMax="47" xr10:uidLastSave="{00000000-0000-0000-0000-000000000000}"/>
  <bookViews>
    <workbookView xWindow="-108" yWindow="-108" windowWidth="23256" windowHeight="13176" activeTab="1" xr2:uid="{23BDB0F9-1EA3-47D9-B5AC-BBF8106AC3C2}"/>
  </bookViews>
  <sheets>
    <sheet name="Задача 1" sheetId="1" r:id="rId1"/>
    <sheet name="Задача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2" i="3" l="1"/>
  <c r="H57" i="3"/>
  <c r="H49" i="3"/>
  <c r="L32" i="3"/>
  <c r="C32" i="3"/>
  <c r="J7" i="3"/>
  <c r="J8" i="3"/>
  <c r="J9" i="3"/>
  <c r="J10" i="3"/>
  <c r="J11" i="3"/>
  <c r="J12" i="3"/>
  <c r="J13" i="3"/>
  <c r="J14" i="3"/>
  <c r="J6" i="3"/>
  <c r="J55" i="3"/>
  <c r="J56" i="3"/>
  <c r="J50" i="3"/>
  <c r="J51" i="3"/>
  <c r="J52" i="3"/>
  <c r="J53" i="3"/>
  <c r="J54" i="3"/>
  <c r="J49" i="3"/>
  <c r="I57" i="3"/>
  <c r="J57" i="3" s="1"/>
  <c r="H55" i="3"/>
  <c r="I55" i="3" s="1"/>
  <c r="H56" i="3"/>
  <c r="I56" i="3" s="1"/>
  <c r="H50" i="3"/>
  <c r="H51" i="3"/>
  <c r="H52" i="3"/>
  <c r="I52" i="3" s="1"/>
  <c r="H53" i="3"/>
  <c r="I53" i="3" s="1"/>
  <c r="H54" i="3"/>
  <c r="I54" i="3" s="1"/>
  <c r="I49" i="3"/>
  <c r="C47" i="1"/>
  <c r="L18" i="3"/>
  <c r="N17" i="3"/>
  <c r="N19" i="3" s="1"/>
  <c r="P17" i="3"/>
  <c r="P19" i="3" s="1"/>
  <c r="R17" i="3"/>
  <c r="R19" i="3" s="1"/>
  <c r="I17" i="3"/>
  <c r="H17" i="3"/>
  <c r="C27" i="3" s="1"/>
  <c r="E17" i="3"/>
  <c r="F17" i="3" s="1"/>
  <c r="D17" i="3"/>
  <c r="C17" i="3"/>
  <c r="B17" i="3"/>
  <c r="I6" i="3"/>
  <c r="E14" i="3"/>
  <c r="E13" i="3"/>
  <c r="E12" i="3"/>
  <c r="H69" i="1"/>
  <c r="H64" i="1"/>
  <c r="I64" i="1"/>
  <c r="J64" i="1" s="1"/>
  <c r="I69" i="1"/>
  <c r="J69" i="1" s="1"/>
  <c r="H65" i="1"/>
  <c r="I65" i="1" s="1"/>
  <c r="J65" i="1" s="1"/>
  <c r="H66" i="1"/>
  <c r="I66" i="1" s="1"/>
  <c r="J66" i="1" s="1"/>
  <c r="H67" i="1"/>
  <c r="I67" i="1" s="1"/>
  <c r="J67" i="1" s="1"/>
  <c r="H68" i="1"/>
  <c r="I68" i="1" s="1"/>
  <c r="J68" i="1" s="1"/>
  <c r="L26" i="1"/>
  <c r="D35" i="1" s="1"/>
  <c r="I35" i="1" s="1"/>
  <c r="J26" i="1"/>
  <c r="D34" i="1" s="1"/>
  <c r="I34" i="1" s="1"/>
  <c r="H26" i="1"/>
  <c r="D33" i="1" s="1"/>
  <c r="I33" i="1" s="1"/>
  <c r="F26" i="1"/>
  <c r="D32" i="1" s="1"/>
  <c r="I32" i="1" s="1"/>
  <c r="D26" i="1"/>
  <c r="D31" i="1" s="1"/>
  <c r="I31" i="1" s="1"/>
  <c r="B26" i="1"/>
  <c r="D30" i="1" s="1"/>
  <c r="I30" i="1" s="1"/>
  <c r="C22" i="1"/>
  <c r="B25" i="1"/>
  <c r="I51" i="3" l="1"/>
  <c r="I50" i="3"/>
  <c r="H27" i="3"/>
  <c r="C71" i="1"/>
  <c r="H30" i="1"/>
  <c r="H31" i="1" s="1"/>
  <c r="H32" i="1" s="1"/>
  <c r="H33" i="1" s="1"/>
  <c r="H34" i="1" s="1"/>
  <c r="H35" i="1" s="1"/>
  <c r="I7" i="3"/>
  <c r="I8" i="3" s="1"/>
  <c r="C25" i="1"/>
  <c r="I9" i="3" l="1"/>
  <c r="I10" i="3" s="1"/>
  <c r="I11" i="3" s="1"/>
  <c r="I12" i="3" s="1"/>
  <c r="I13" i="3" s="1"/>
  <c r="I14" i="3" s="1"/>
  <c r="D19" i="3"/>
  <c r="B19" i="3"/>
  <c r="D25" i="1"/>
  <c r="B27" i="1"/>
  <c r="C30" i="1" s="1"/>
  <c r="E6" i="3" l="1"/>
  <c r="E30" i="1"/>
  <c r="E25" i="1"/>
  <c r="D27" i="1"/>
  <c r="C31" i="1" s="1"/>
  <c r="F25" i="1" l="1"/>
  <c r="J17" i="3"/>
  <c r="F19" i="3"/>
  <c r="E31" i="1"/>
  <c r="G25" i="1"/>
  <c r="F27" i="1"/>
  <c r="C32" i="1" s="1"/>
  <c r="H25" i="1" l="1"/>
  <c r="H19" i="3"/>
  <c r="L17" i="3"/>
  <c r="E7" i="3"/>
  <c r="E32" i="1"/>
  <c r="I25" i="1"/>
  <c r="C42" i="1"/>
  <c r="H27" i="1"/>
  <c r="C33" i="1" s="1"/>
  <c r="J25" i="1" l="1"/>
  <c r="L19" i="3"/>
  <c r="J19" i="3"/>
  <c r="E33" i="1"/>
  <c r="K25" i="1"/>
  <c r="J27" i="1"/>
  <c r="C34" i="1" s="1"/>
  <c r="L25" i="1" l="1"/>
  <c r="E8" i="3"/>
  <c r="E34" i="1"/>
  <c r="M25" i="1"/>
  <c r="L27" i="1"/>
  <c r="C35" i="1" s="1"/>
  <c r="H42" i="1" l="1"/>
  <c r="E35" i="1"/>
  <c r="C37" i="1"/>
  <c r="E9" i="3" l="1"/>
  <c r="G30" i="1"/>
  <c r="F30" i="1"/>
  <c r="F31" i="1"/>
  <c r="G31" i="1"/>
  <c r="F32" i="1"/>
  <c r="G32" i="1"/>
  <c r="F33" i="1"/>
  <c r="G33" i="1"/>
  <c r="F34" i="1"/>
  <c r="G34" i="1"/>
  <c r="F35" i="1"/>
  <c r="G35" i="1"/>
  <c r="L47" i="1" l="1"/>
  <c r="P47" i="1" s="1"/>
  <c r="L41" i="1"/>
  <c r="P42" i="1" s="1"/>
  <c r="C55" i="1" s="1"/>
  <c r="H47" i="1"/>
  <c r="F55" i="1" s="1"/>
  <c r="E10" i="3"/>
  <c r="D64" i="1" l="1"/>
  <c r="E68" i="1"/>
  <c r="D69" i="1"/>
  <c r="E64" i="1"/>
  <c r="E65" i="1"/>
  <c r="E66" i="1"/>
  <c r="D66" i="1"/>
  <c r="D67" i="1"/>
  <c r="E67" i="1"/>
  <c r="D65" i="1"/>
  <c r="D68" i="1"/>
  <c r="E69" i="1"/>
  <c r="E11" i="3" l="1"/>
  <c r="C22" i="3" s="1"/>
  <c r="H6" i="3" l="1"/>
  <c r="H9" i="3"/>
  <c r="H8" i="3"/>
  <c r="H13" i="3"/>
  <c r="H7" i="3"/>
  <c r="H12" i="3"/>
  <c r="H11" i="3"/>
  <c r="H10" i="3"/>
  <c r="H14" i="3"/>
  <c r="G8" i="3"/>
  <c r="F9" i="3"/>
  <c r="G9" i="3"/>
  <c r="F10" i="3"/>
  <c r="F14" i="3" l="1"/>
  <c r="G14" i="3"/>
  <c r="G13" i="3"/>
  <c r="F13" i="3"/>
  <c r="F12" i="3"/>
  <c r="G12" i="3"/>
  <c r="F8" i="3"/>
  <c r="F7" i="3"/>
  <c r="G7" i="3"/>
  <c r="F6" i="3"/>
  <c r="G6" i="3"/>
  <c r="G11" i="3"/>
  <c r="G10" i="3"/>
  <c r="F11" i="3"/>
  <c r="H32" i="3" l="1"/>
  <c r="L26" i="3"/>
  <c r="P27" i="3" s="1"/>
  <c r="C40" i="3" s="1"/>
  <c r="P32" i="3"/>
  <c r="F40" i="3"/>
  <c r="D54" i="3" l="1"/>
  <c r="D57" i="3"/>
  <c r="D56" i="3"/>
  <c r="D53" i="3"/>
  <c r="E51" i="3"/>
  <c r="D49" i="3"/>
  <c r="D51" i="3"/>
  <c r="D50" i="3"/>
  <c r="E50" i="3"/>
  <c r="E53" i="3"/>
  <c r="E52" i="3"/>
  <c r="D55" i="3"/>
  <c r="E56" i="3"/>
  <c r="E55" i="3"/>
  <c r="E54" i="3"/>
  <c r="E49" i="3"/>
  <c r="E57" i="3"/>
  <c r="D52" i="3"/>
</calcChain>
</file>

<file path=xl/sharedStrings.xml><?xml version="1.0" encoding="utf-8"?>
<sst xmlns="http://schemas.openxmlformats.org/spreadsheetml/2006/main" count="100" uniqueCount="51">
  <si>
    <t>Проверить гипотезу о нормальном распределении по критерию Пирсона. Уровень значимости α=0.05. Данные разбить на 6 интервалов.</t>
  </si>
  <si>
    <t>h</t>
  </si>
  <si>
    <t>n</t>
  </si>
  <si>
    <t>min/max</t>
  </si>
  <si>
    <t>кол-во</t>
  </si>
  <si>
    <t>ср. знач</t>
  </si>
  <si>
    <t>x_i</t>
  </si>
  <si>
    <t>f_i</t>
  </si>
  <si>
    <t>x_i*f_i</t>
  </si>
  <si>
    <t>|x-xср|*f</t>
  </si>
  <si>
    <t>|x-xср|^2*f</t>
  </si>
  <si>
    <t>fi/n</t>
  </si>
  <si>
    <t>x_ср</t>
  </si>
  <si>
    <t>Me</t>
  </si>
  <si>
    <t>S</t>
  </si>
  <si>
    <t>R</t>
  </si>
  <si>
    <t>d</t>
  </si>
  <si>
    <t>D</t>
  </si>
  <si>
    <t>Размах вариации</t>
  </si>
  <si>
    <t>Среднее линейное отклонение</t>
  </si>
  <si>
    <t>Мода</t>
  </si>
  <si>
    <t>Mo</t>
  </si>
  <si>
    <t>Медиана</t>
  </si>
  <si>
    <t>Дисперсия</t>
  </si>
  <si>
    <t>Несмещенная оценка дисперсии</t>
  </si>
  <si>
    <t>S^2</t>
  </si>
  <si>
    <t>Ср.Кв.Откл</t>
  </si>
  <si>
    <t>σ</t>
  </si>
  <si>
    <t>оценка ср. кв. отклон</t>
  </si>
  <si>
    <t>s</t>
  </si>
  <si>
    <t>6 часть</t>
  </si>
  <si>
    <t>v</t>
  </si>
  <si>
    <t>Коэфф. Вариации</t>
  </si>
  <si>
    <t>Линейный коэфф. Вариации</t>
  </si>
  <si>
    <t>Kd</t>
  </si>
  <si>
    <r>
      <t>Проверка гипотез о виде распределения</t>
    </r>
    <r>
      <rPr>
        <sz val="10"/>
        <color rgb="FF555555"/>
        <rFont val="Open Sans"/>
        <charset val="204"/>
      </rPr>
      <t>.</t>
    </r>
  </si>
  <si>
    <t>K</t>
  </si>
  <si>
    <t>Интерв</t>
  </si>
  <si>
    <t>ni</t>
  </si>
  <si>
    <t>x1</t>
  </si>
  <si>
    <t>x2</t>
  </si>
  <si>
    <t>Ф(x1)</t>
  </si>
  <si>
    <t>Ф(x2)</t>
  </si>
  <si>
    <t>pi</t>
  </si>
  <si>
    <t>npi</t>
  </si>
  <si>
    <t>Ki</t>
  </si>
  <si>
    <t>Kкр</t>
  </si>
  <si>
    <t xml:space="preserve"> нулевая гипотеза о нормальном распределении генеральной совокупности отвергается.</t>
  </si>
  <si>
    <t>Поскольку наблюдаемое значение критерия Пирсона больше критического (8,807&gt;7,815),</t>
  </si>
  <si>
    <t>|x-xср|^3*f</t>
  </si>
  <si>
    <t>K &gt; Kкп =&gt; не соответсвует нрмальному распределению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</si>
</sst>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04"/>
      <scheme val="minor"/>
    </font>
    <font>
      <sz val="10"/>
      <color rgb="FF555555"/>
      <name val="Open Sans"/>
      <charset val="204"/>
    </font>
    <font>
      <b/>
      <sz val="10"/>
      <color rgb="FF555555"/>
      <name val="Open Sans"/>
      <charset val="204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2" fontId="0" fillId="0" borderId="12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47625</xdr:rowOff>
    </xdr:from>
    <xdr:to>
      <xdr:col>4</xdr:col>
      <xdr:colOff>286041</xdr:colOff>
      <xdr:row>7</xdr:row>
      <xdr:rowOff>76337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33EBFE1-2183-7DE5-F19E-98E71178D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447675"/>
          <a:ext cx="2086266" cy="98121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15</xdr:row>
      <xdr:rowOff>180975</xdr:rowOff>
    </xdr:from>
    <xdr:to>
      <xdr:col>2</xdr:col>
      <xdr:colOff>562135</xdr:colOff>
      <xdr:row>18</xdr:row>
      <xdr:rowOff>171528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86725BB-134A-DBA4-870E-955461514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3076575"/>
          <a:ext cx="1143160" cy="562053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36</xdr:row>
      <xdr:rowOff>180975</xdr:rowOff>
    </xdr:from>
    <xdr:to>
      <xdr:col>2</xdr:col>
      <xdr:colOff>495434</xdr:colOff>
      <xdr:row>39</xdr:row>
      <xdr:rowOff>162002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F5A536C-82C1-0359-ACBE-B2C07C569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2475" y="7124700"/>
          <a:ext cx="962159" cy="55252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41</xdr:row>
      <xdr:rowOff>180976</xdr:rowOff>
    </xdr:from>
    <xdr:to>
      <xdr:col>4</xdr:col>
      <xdr:colOff>552777</xdr:colOff>
      <xdr:row>44</xdr:row>
      <xdr:rowOff>104776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AAD5190-A3BE-88E6-8836-3EE86D4AA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7700" y="8077201"/>
          <a:ext cx="2343477" cy="49530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47</xdr:row>
      <xdr:rowOff>76200</xdr:rowOff>
    </xdr:from>
    <xdr:to>
      <xdr:col>4</xdr:col>
      <xdr:colOff>514665</xdr:colOff>
      <xdr:row>50</xdr:row>
      <xdr:rowOff>47701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D0AA1798-1422-8E82-7481-E4C7AC543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9115425"/>
          <a:ext cx="2257740" cy="543001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</xdr:colOff>
      <xdr:row>42</xdr:row>
      <xdr:rowOff>85725</xdr:rowOff>
    </xdr:from>
    <xdr:to>
      <xdr:col>7</xdr:col>
      <xdr:colOff>466850</xdr:colOff>
      <xdr:row>44</xdr:row>
      <xdr:rowOff>28620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739560A-F085-D76C-F110-29154D2A5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38575" y="8172450"/>
          <a:ext cx="895475" cy="32389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47</xdr:row>
      <xdr:rowOff>57150</xdr:rowOff>
    </xdr:from>
    <xdr:to>
      <xdr:col>8</xdr:col>
      <xdr:colOff>200215</xdr:colOff>
      <xdr:row>50</xdr:row>
      <xdr:rowOff>9598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F05C2B1F-FD6E-8B2C-E0DA-84B4BB69B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14750" y="9096375"/>
          <a:ext cx="1362265" cy="523948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</xdr:colOff>
      <xdr:row>41</xdr:row>
      <xdr:rowOff>0</xdr:rowOff>
    </xdr:from>
    <xdr:to>
      <xdr:col>12</xdr:col>
      <xdr:colOff>124008</xdr:colOff>
      <xdr:row>44</xdr:row>
      <xdr:rowOff>66764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BAAA1FAB-D9E0-5B13-D25E-51BF14079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24575" y="7896225"/>
          <a:ext cx="1314633" cy="638264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47</xdr:row>
      <xdr:rowOff>66675</xdr:rowOff>
    </xdr:from>
    <xdr:to>
      <xdr:col>12</xdr:col>
      <xdr:colOff>66846</xdr:colOff>
      <xdr:row>50</xdr:row>
      <xdr:rowOff>38176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E285F822-3F47-41B6-3FE2-6FC334E28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53150" y="9105900"/>
          <a:ext cx="1228896" cy="543001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47625</xdr:colOff>
      <xdr:row>42</xdr:row>
      <xdr:rowOff>19050</xdr:rowOff>
    </xdr:from>
    <xdr:to>
      <xdr:col>15</xdr:col>
      <xdr:colOff>85815</xdr:colOff>
      <xdr:row>43</xdr:row>
      <xdr:rowOff>114340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DC403DC0-827B-3D7D-534B-502FB2B1F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82025" y="8105775"/>
          <a:ext cx="647790" cy="28579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47</xdr:row>
      <xdr:rowOff>38100</xdr:rowOff>
    </xdr:from>
    <xdr:to>
      <xdr:col>15</xdr:col>
      <xdr:colOff>304922</xdr:colOff>
      <xdr:row>49</xdr:row>
      <xdr:rowOff>142943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5215FFE5-A22D-27B7-9C3B-286BE9FA4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72500" y="9077325"/>
          <a:ext cx="876422" cy="485843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55</xdr:row>
      <xdr:rowOff>66675</xdr:rowOff>
    </xdr:from>
    <xdr:to>
      <xdr:col>5</xdr:col>
      <xdr:colOff>304917</xdr:colOff>
      <xdr:row>57</xdr:row>
      <xdr:rowOff>123886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F97600CE-99E6-9F28-DC93-42E58692C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14600" y="10629900"/>
          <a:ext cx="838317" cy="438211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55</xdr:row>
      <xdr:rowOff>57150</xdr:rowOff>
    </xdr:from>
    <xdr:to>
      <xdr:col>2</xdr:col>
      <xdr:colOff>162007</xdr:colOff>
      <xdr:row>57</xdr:row>
      <xdr:rowOff>142940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33F7F6A-3459-FA8C-D3F7-3414B2BFF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0575" y="10620375"/>
          <a:ext cx="590632" cy="466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22</xdr:row>
      <xdr:rowOff>38100</xdr:rowOff>
    </xdr:from>
    <xdr:to>
      <xdr:col>2</xdr:col>
      <xdr:colOff>409709</xdr:colOff>
      <xdr:row>25</xdr:row>
      <xdr:rowOff>19127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99F0B0E-AD3B-4822-8524-EB24AA828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7105650"/>
          <a:ext cx="962159" cy="552527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27</xdr:row>
      <xdr:rowOff>47626</xdr:rowOff>
    </xdr:from>
    <xdr:to>
      <xdr:col>4</xdr:col>
      <xdr:colOff>514677</xdr:colOff>
      <xdr:row>29</xdr:row>
      <xdr:rowOff>161926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01AFE60-5D21-487A-9043-0DB06E44D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5781676"/>
          <a:ext cx="2343477" cy="49530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32</xdr:row>
      <xdr:rowOff>76200</xdr:rowOff>
    </xdr:from>
    <xdr:to>
      <xdr:col>4</xdr:col>
      <xdr:colOff>447990</xdr:colOff>
      <xdr:row>35</xdr:row>
      <xdr:rowOff>47701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3975F01-46D3-4882-BF4D-B12EDBD31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9115425"/>
          <a:ext cx="2257740" cy="543001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</xdr:colOff>
      <xdr:row>27</xdr:row>
      <xdr:rowOff>85725</xdr:rowOff>
    </xdr:from>
    <xdr:to>
      <xdr:col>7</xdr:col>
      <xdr:colOff>466850</xdr:colOff>
      <xdr:row>29</xdr:row>
      <xdr:rowOff>28620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05EB83E-39E3-4B78-9F0D-5C6F6270E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38575" y="8172450"/>
          <a:ext cx="895475" cy="32389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32</xdr:row>
      <xdr:rowOff>57150</xdr:rowOff>
    </xdr:from>
    <xdr:to>
      <xdr:col>8</xdr:col>
      <xdr:colOff>200215</xdr:colOff>
      <xdr:row>35</xdr:row>
      <xdr:rowOff>9598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255AF868-9670-435D-A010-DC5A48F38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14750" y="9096375"/>
          <a:ext cx="1362265" cy="523948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</xdr:colOff>
      <xdr:row>26</xdr:row>
      <xdr:rowOff>0</xdr:rowOff>
    </xdr:from>
    <xdr:to>
      <xdr:col>12</xdr:col>
      <xdr:colOff>124008</xdr:colOff>
      <xdr:row>29</xdr:row>
      <xdr:rowOff>66764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67A7D81D-EBA1-4D37-8645-8B7420B4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24575" y="7896225"/>
          <a:ext cx="1314633" cy="638264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32</xdr:row>
      <xdr:rowOff>66675</xdr:rowOff>
    </xdr:from>
    <xdr:to>
      <xdr:col>12</xdr:col>
      <xdr:colOff>66846</xdr:colOff>
      <xdr:row>35</xdr:row>
      <xdr:rowOff>38176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B5223CB7-3C9C-46CD-95DF-C0A381C35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53150" y="9105900"/>
          <a:ext cx="1228896" cy="543001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47625</xdr:colOff>
      <xdr:row>27</xdr:row>
      <xdr:rowOff>19050</xdr:rowOff>
    </xdr:from>
    <xdr:to>
      <xdr:col>15</xdr:col>
      <xdr:colOff>85815</xdr:colOff>
      <xdr:row>28</xdr:row>
      <xdr:rowOff>114340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DB78C91B-6A22-4A61-B7D6-9EDAA16AD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82025" y="8105775"/>
          <a:ext cx="647790" cy="28579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32</xdr:row>
      <xdr:rowOff>38100</xdr:rowOff>
    </xdr:from>
    <xdr:to>
      <xdr:col>15</xdr:col>
      <xdr:colOff>304922</xdr:colOff>
      <xdr:row>34</xdr:row>
      <xdr:rowOff>142943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CB1A7408-1761-4879-B575-98AC11F83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72500" y="9077325"/>
          <a:ext cx="876422" cy="485843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40</xdr:row>
      <xdr:rowOff>66675</xdr:rowOff>
    </xdr:from>
    <xdr:to>
      <xdr:col>5</xdr:col>
      <xdr:colOff>304917</xdr:colOff>
      <xdr:row>42</xdr:row>
      <xdr:rowOff>123886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527307BF-46EC-4649-BDE5-0D8EB799D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14600" y="10629900"/>
          <a:ext cx="838317" cy="438211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40</xdr:row>
      <xdr:rowOff>57150</xdr:rowOff>
    </xdr:from>
    <xdr:to>
      <xdr:col>2</xdr:col>
      <xdr:colOff>162007</xdr:colOff>
      <xdr:row>42</xdr:row>
      <xdr:rowOff>142940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51D7B043-A2FE-4542-9BC8-391ECA6A7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0575" y="10620375"/>
          <a:ext cx="590632" cy="466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379D-A206-4571-8C4E-2102588C4E20}">
  <dimension ref="A2:P75"/>
  <sheetViews>
    <sheetView topLeftCell="A15" workbookViewId="0">
      <selection activeCell="C47" sqref="C47"/>
    </sheetView>
  </sheetViews>
  <sheetFormatPr defaultColWidth="9.09765625" defaultRowHeight="13.8"/>
  <cols>
    <col min="1" max="16384" width="9.09765625" style="2"/>
  </cols>
  <sheetData>
    <row r="2" spans="2:9" ht="16.2">
      <c r="B2" s="6" t="s">
        <v>0</v>
      </c>
    </row>
    <row r="9" spans="2:9" ht="15.75" thickBot="1"/>
    <row r="10" spans="2:9" ht="15">
      <c r="B10" s="7">
        <v>54.5</v>
      </c>
      <c r="C10" s="8">
        <v>52</v>
      </c>
      <c r="D10" s="8">
        <v>54</v>
      </c>
      <c r="E10" s="8">
        <v>43</v>
      </c>
      <c r="F10" s="8">
        <v>57.5</v>
      </c>
      <c r="G10" s="9">
        <v>52</v>
      </c>
      <c r="I10" s="4"/>
    </row>
    <row r="11" spans="2:9" ht="15">
      <c r="B11" s="10">
        <v>48.5</v>
      </c>
      <c r="C11" s="11">
        <v>49</v>
      </c>
      <c r="D11" s="11">
        <v>58</v>
      </c>
      <c r="E11" s="11">
        <v>52.5</v>
      </c>
      <c r="F11" s="11">
        <v>49.5</v>
      </c>
      <c r="G11" s="12">
        <v>52</v>
      </c>
    </row>
    <row r="12" spans="2:9" ht="15">
      <c r="B12" s="10">
        <v>50</v>
      </c>
      <c r="C12" s="11">
        <v>50.5</v>
      </c>
      <c r="D12" s="11">
        <v>52</v>
      </c>
      <c r="E12" s="11">
        <v>51.5</v>
      </c>
      <c r="F12" s="11">
        <v>52</v>
      </c>
      <c r="G12" s="12">
        <v>53</v>
      </c>
      <c r="I12" s="4"/>
    </row>
    <row r="13" spans="2:9" ht="15">
      <c r="B13" s="10">
        <v>52</v>
      </c>
      <c r="C13" s="11">
        <v>52</v>
      </c>
      <c r="D13" s="11">
        <v>52.5</v>
      </c>
      <c r="E13" s="11">
        <v>53</v>
      </c>
      <c r="F13" s="11">
        <v>53</v>
      </c>
      <c r="G13" s="12">
        <v>53.5</v>
      </c>
    </row>
    <row r="14" spans="2:9" ht="15">
      <c r="B14" s="10">
        <v>54</v>
      </c>
      <c r="C14" s="11">
        <v>49</v>
      </c>
      <c r="D14" s="11">
        <v>54</v>
      </c>
      <c r="E14" s="11">
        <v>54.5</v>
      </c>
      <c r="F14" s="11">
        <v>51.5</v>
      </c>
      <c r="G14" s="12">
        <v>55.5</v>
      </c>
      <c r="I14" s="4"/>
    </row>
    <row r="15" spans="2:9" ht="15.75" thickBot="1">
      <c r="B15" s="13">
        <v>57</v>
      </c>
      <c r="C15" s="14">
        <v>57.5</v>
      </c>
      <c r="D15" s="14">
        <v>50</v>
      </c>
      <c r="E15" s="14">
        <v>58</v>
      </c>
      <c r="F15" s="14">
        <v>58.5</v>
      </c>
      <c r="G15" s="15">
        <v>60</v>
      </c>
      <c r="I15" s="4"/>
    </row>
    <row r="21" spans="1:13" ht="15">
      <c r="B21" s="2" t="s">
        <v>2</v>
      </c>
      <c r="C21" s="2">
        <v>6</v>
      </c>
    </row>
    <row r="22" spans="1:13" ht="15">
      <c r="B22" s="2" t="s">
        <v>1</v>
      </c>
      <c r="C22" s="5">
        <f>(MAX(B10:G15)-MIN(B10:G15))/6</f>
        <v>2.8333333333333335</v>
      </c>
    </row>
    <row r="23" spans="1:13" ht="15.75" thickBot="1"/>
    <row r="24" spans="1:13" ht="15.75" thickBot="1">
      <c r="A24" s="16" t="s">
        <v>2</v>
      </c>
      <c r="B24" s="31">
        <v>1</v>
      </c>
      <c r="C24" s="31"/>
      <c r="D24" s="31">
        <v>2</v>
      </c>
      <c r="E24" s="31"/>
      <c r="F24" s="31">
        <v>3</v>
      </c>
      <c r="G24" s="31"/>
      <c r="H24" s="31">
        <v>4</v>
      </c>
      <c r="I24" s="31"/>
      <c r="J24" s="31">
        <v>5</v>
      </c>
      <c r="K24" s="31"/>
      <c r="L24" s="31">
        <v>6</v>
      </c>
      <c r="M24" s="32"/>
    </row>
    <row r="25" spans="1:13" ht="15.75" thickBot="1">
      <c r="A25" s="17" t="s">
        <v>3</v>
      </c>
      <c r="B25" s="19">
        <f>MIN(B10:G15)</f>
        <v>43</v>
      </c>
      <c r="C25" s="20">
        <f>B25+C22</f>
        <v>45.833333333333336</v>
      </c>
      <c r="D25" s="20">
        <f>C25</f>
        <v>45.833333333333336</v>
      </c>
      <c r="E25" s="20">
        <f>D25+$C$22</f>
        <v>48.666666666666671</v>
      </c>
      <c r="F25" s="20">
        <f>E25</f>
        <v>48.666666666666671</v>
      </c>
      <c r="G25" s="20">
        <f>F25+$C$22</f>
        <v>51.500000000000007</v>
      </c>
      <c r="H25" s="20">
        <f t="shared" ref="H25" si="0">G25</f>
        <v>51.500000000000007</v>
      </c>
      <c r="I25" s="20">
        <f>H25+$C$22</f>
        <v>54.333333333333343</v>
      </c>
      <c r="J25" s="20">
        <f t="shared" ref="J25" si="1">I25</f>
        <v>54.333333333333343</v>
      </c>
      <c r="K25" s="20">
        <f>J25+$C$22</f>
        <v>57.166666666666679</v>
      </c>
      <c r="L25" s="20">
        <f t="shared" ref="L25" si="2">K25</f>
        <v>57.166666666666679</v>
      </c>
      <c r="M25" s="21">
        <f>L25+$C$22</f>
        <v>60.000000000000014</v>
      </c>
    </row>
    <row r="26" spans="1:13" ht="14.4" thickBot="1">
      <c r="A26" s="17" t="s">
        <v>4</v>
      </c>
      <c r="B26" s="29">
        <f>COUNTIFS($B$10:$G$15,"&gt;=43",$B$10:$G$15,"&lt;45,83")</f>
        <v>1</v>
      </c>
      <c r="C26" s="29"/>
      <c r="D26" s="29">
        <f>COUNTIFS($B$10:$G$15,"&gt;=45,83",$B$10:$G$15,"&lt;48,67")</f>
        <v>1</v>
      </c>
      <c r="E26" s="29"/>
      <c r="F26" s="29">
        <f>COUNTIFS($B$10:$G$15,"&gt;=48,67",$B$10:$G$15,"&lt;51,5")</f>
        <v>6</v>
      </c>
      <c r="G26" s="29"/>
      <c r="H26" s="29">
        <f>COUNTIFS($B$10:$G$15,"&gt;=51,5",$B$10:$G$15,"&lt;54,33")</f>
        <v>18</v>
      </c>
      <c r="I26" s="29"/>
      <c r="J26" s="29">
        <f>COUNTIFS($B$10:$G$15,"&gt;=54,33",$B$10:$G$15,"&lt;57,17")</f>
        <v>4</v>
      </c>
      <c r="K26" s="29"/>
      <c r="L26" s="29">
        <f>COUNTIFS($B$10:$G$15,"&gt;=57,17",$B$10:$G$15,"&lt;=60")</f>
        <v>6</v>
      </c>
      <c r="M26" s="30"/>
    </row>
    <row r="27" spans="1:13" ht="14.4" thickBot="1">
      <c r="A27" s="18" t="s">
        <v>5</v>
      </c>
      <c r="B27" s="26">
        <f>B25+(C25-B25)/2</f>
        <v>44.416666666666671</v>
      </c>
      <c r="C27" s="27"/>
      <c r="D27" s="27">
        <f>D25+(E25-D25)/2</f>
        <v>47.25</v>
      </c>
      <c r="E27" s="27"/>
      <c r="F27" s="27">
        <f t="shared" ref="F27" si="3">F25+(G25-F25)/2</f>
        <v>50.083333333333343</v>
      </c>
      <c r="G27" s="27"/>
      <c r="H27" s="27">
        <f t="shared" ref="H27" si="4">H25+(I25-H25)/2</f>
        <v>52.916666666666671</v>
      </c>
      <c r="I27" s="27"/>
      <c r="J27" s="27">
        <f t="shared" ref="J27" si="5">J25+(K25-J25)/2</f>
        <v>55.750000000000014</v>
      </c>
      <c r="K27" s="27"/>
      <c r="L27" s="27">
        <f t="shared" ref="L27" si="6">L25+(M25-L25)/2</f>
        <v>58.583333333333343</v>
      </c>
      <c r="M27" s="28"/>
    </row>
    <row r="29" spans="1:13">
      <c r="B29" s="2" t="s">
        <v>2</v>
      </c>
      <c r="C29" s="2" t="s">
        <v>6</v>
      </c>
      <c r="D29" s="2" t="s">
        <v>7</v>
      </c>
      <c r="E29" s="2" t="s">
        <v>8</v>
      </c>
      <c r="F29" s="2" t="s">
        <v>9</v>
      </c>
      <c r="G29" s="2" t="s">
        <v>10</v>
      </c>
      <c r="H29" s="2" t="s">
        <v>14</v>
      </c>
      <c r="I29" s="2" t="s">
        <v>11</v>
      </c>
    </row>
    <row r="30" spans="1:13" ht="15">
      <c r="B30" s="2">
        <v>1</v>
      </c>
      <c r="C30" s="5">
        <f>B27</f>
        <v>44.416666666666671</v>
      </c>
      <c r="D30" s="2">
        <f>B26</f>
        <v>1</v>
      </c>
      <c r="E30" s="2">
        <f>C30*D30</f>
        <v>44.416666666666671</v>
      </c>
      <c r="F30" s="2">
        <f>ABS(C30-$C$37)*D30</f>
        <v>8.893518518518519</v>
      </c>
      <c r="G30" s="2">
        <f>ABS(C30-$C$37)^2*D30</f>
        <v>79.094671639231834</v>
      </c>
      <c r="H30" s="2">
        <f>B26</f>
        <v>1</v>
      </c>
      <c r="I30" s="2">
        <f t="shared" ref="I30:I35" si="7">D30/36</f>
        <v>2.7777777777777776E-2</v>
      </c>
    </row>
    <row r="31" spans="1:13" ht="15">
      <c r="B31" s="2">
        <v>2</v>
      </c>
      <c r="C31" s="5">
        <f>D27</f>
        <v>47.25</v>
      </c>
      <c r="D31" s="2">
        <f>D26</f>
        <v>1</v>
      </c>
      <c r="E31" s="2">
        <f t="shared" ref="E31:E35" si="8">C31*D31</f>
        <v>47.25</v>
      </c>
      <c r="F31" s="2">
        <f t="shared" ref="F31:F35" si="9">ABS(C31-$C$37)*D31</f>
        <v>6.0601851851851904</v>
      </c>
      <c r="G31" s="2">
        <f t="shared" ref="G31:G35" si="10">ABS(C31-$C$37)^2*D31</f>
        <v>36.725844478738061</v>
      </c>
      <c r="H31" s="2">
        <f>H30+D31</f>
        <v>2</v>
      </c>
      <c r="I31" s="2">
        <f t="shared" si="7"/>
        <v>2.7777777777777776E-2</v>
      </c>
    </row>
    <row r="32" spans="1:13" ht="15">
      <c r="B32" s="2">
        <v>3</v>
      </c>
      <c r="C32" s="5">
        <f>F27</f>
        <v>50.083333333333343</v>
      </c>
      <c r="D32" s="2">
        <f>F26</f>
        <v>6</v>
      </c>
      <c r="E32" s="2">
        <f t="shared" si="8"/>
        <v>300.50000000000006</v>
      </c>
      <c r="F32" s="2">
        <f t="shared" si="9"/>
        <v>19.361111111111086</v>
      </c>
      <c r="G32" s="2">
        <f t="shared" si="10"/>
        <v>62.475437242798193</v>
      </c>
      <c r="H32" s="2">
        <f t="shared" ref="H32:H35" si="11">H31+D32</f>
        <v>8</v>
      </c>
      <c r="I32" s="2">
        <f t="shared" si="7"/>
        <v>0.16666666666666666</v>
      </c>
    </row>
    <row r="33" spans="2:16" ht="15">
      <c r="B33" s="2">
        <v>4</v>
      </c>
      <c r="C33" s="5">
        <f>H27</f>
        <v>52.916666666666671</v>
      </c>
      <c r="D33" s="2">
        <f>H26</f>
        <v>18</v>
      </c>
      <c r="E33" s="2">
        <f t="shared" si="8"/>
        <v>952.50000000000011</v>
      </c>
      <c r="F33" s="2">
        <f t="shared" si="9"/>
        <v>7.0833333333333428</v>
      </c>
      <c r="G33" s="2">
        <f t="shared" si="10"/>
        <v>2.7874228395061804</v>
      </c>
      <c r="H33" s="2">
        <f t="shared" si="11"/>
        <v>26</v>
      </c>
      <c r="I33" s="2">
        <f t="shared" si="7"/>
        <v>0.5</v>
      </c>
    </row>
    <row r="34" spans="2:16" ht="15">
      <c r="B34" s="2">
        <v>5</v>
      </c>
      <c r="C34" s="5">
        <f>J27</f>
        <v>55.750000000000014</v>
      </c>
      <c r="D34" s="2">
        <f>J26</f>
        <v>4</v>
      </c>
      <c r="E34" s="2">
        <f t="shared" si="8"/>
        <v>223.00000000000006</v>
      </c>
      <c r="F34" s="2">
        <f t="shared" si="9"/>
        <v>9.759259259259295</v>
      </c>
      <c r="G34" s="2">
        <f t="shared" si="10"/>
        <v>23.810785322359571</v>
      </c>
      <c r="H34" s="2">
        <f t="shared" si="11"/>
        <v>30</v>
      </c>
      <c r="I34" s="2">
        <f t="shared" si="7"/>
        <v>0.1111111111111111</v>
      </c>
    </row>
    <row r="35" spans="2:16" ht="15">
      <c r="B35" s="2">
        <v>6</v>
      </c>
      <c r="C35" s="5">
        <f>L27</f>
        <v>58.583333333333343</v>
      </c>
      <c r="D35" s="2">
        <f>L26</f>
        <v>6</v>
      </c>
      <c r="E35" s="2">
        <f t="shared" si="8"/>
        <v>351.50000000000006</v>
      </c>
      <c r="F35" s="2">
        <f t="shared" si="9"/>
        <v>31.638888888888914</v>
      </c>
      <c r="G35" s="2">
        <f t="shared" si="10"/>
        <v>166.83654835390973</v>
      </c>
      <c r="H35" s="2">
        <f t="shared" si="11"/>
        <v>36</v>
      </c>
      <c r="I35" s="2">
        <f t="shared" si="7"/>
        <v>0.16666666666666666</v>
      </c>
    </row>
    <row r="37" spans="2:16">
      <c r="B37" s="2" t="s">
        <v>12</v>
      </c>
      <c r="C37" s="5">
        <f>SUM(E30:E35)/SUM(D30:D35)</f>
        <v>53.31018518518519</v>
      </c>
    </row>
    <row r="40" spans="2:16">
      <c r="K40" s="2" t="s">
        <v>23</v>
      </c>
    </row>
    <row r="41" spans="2:16">
      <c r="B41" s="2" t="s">
        <v>20</v>
      </c>
      <c r="G41" s="22" t="s">
        <v>18</v>
      </c>
      <c r="K41" s="2" t="s">
        <v>17</v>
      </c>
      <c r="L41" s="2">
        <f>SUM(G30:G35)/SUM(D30:D35)</f>
        <v>10.325853052126211</v>
      </c>
      <c r="O41" s="2" t="s">
        <v>26</v>
      </c>
    </row>
    <row r="42" spans="2:16">
      <c r="B42" s="2" t="s">
        <v>21</v>
      </c>
      <c r="C42" s="2">
        <f>H25+C22*((H26-F26)/((H26-F26)+(H26-J26)))</f>
        <v>52.807692307692314</v>
      </c>
      <c r="G42" s="2" t="s">
        <v>15</v>
      </c>
      <c r="H42" s="5">
        <f>M25-B25</f>
        <v>17.000000000000014</v>
      </c>
      <c r="O42" s="23" t="s">
        <v>27</v>
      </c>
      <c r="P42" s="2">
        <f>SQRT(L41)</f>
        <v>3.213386539482328</v>
      </c>
    </row>
    <row r="46" spans="2:16">
      <c r="B46" s="2" t="s">
        <v>22</v>
      </c>
      <c r="G46" s="22" t="s">
        <v>19</v>
      </c>
      <c r="K46" s="22" t="s">
        <v>24</v>
      </c>
      <c r="O46" s="22" t="s">
        <v>28</v>
      </c>
    </row>
    <row r="47" spans="2:16">
      <c r="B47" s="2" t="s">
        <v>13</v>
      </c>
      <c r="C47" s="2">
        <f>H25+C22/H26*(SUM(D30:D35)/2-H32)</f>
        <v>53.074074074074083</v>
      </c>
      <c r="G47" s="2" t="s">
        <v>16</v>
      </c>
      <c r="H47" s="2">
        <f>SUM(F30:F35)/SUM(D30:D35)</f>
        <v>2.2998971193415652</v>
      </c>
      <c r="K47" s="2" t="s">
        <v>25</v>
      </c>
      <c r="L47" s="2">
        <f>SUM(G30:G35)/35</f>
        <v>10.620877425044103</v>
      </c>
      <c r="O47" s="2" t="s">
        <v>29</v>
      </c>
      <c r="P47" s="2">
        <f>SQRT(L47)</f>
        <v>3.2589687671170005</v>
      </c>
    </row>
    <row r="52" spans="2:10">
      <c r="B52" s="2" t="s">
        <v>30</v>
      </c>
    </row>
    <row r="54" spans="2:10">
      <c r="B54" s="22" t="s">
        <v>32</v>
      </c>
      <c r="E54" s="22" t="s">
        <v>33</v>
      </c>
    </row>
    <row r="55" spans="2:10">
      <c r="B55" s="2" t="s">
        <v>31</v>
      </c>
      <c r="C55" s="2">
        <f>P42/C37</f>
        <v>6.0277159576915568E-2</v>
      </c>
      <c r="E55" s="2" t="s">
        <v>34</v>
      </c>
      <c r="F55" s="2">
        <f>H47/C37</f>
        <v>4.3141795725382376E-2</v>
      </c>
    </row>
    <row r="61" spans="2:10" ht="16.2">
      <c r="B61" s="1" t="s">
        <v>35</v>
      </c>
    </row>
    <row r="63" spans="2:10" ht="16.2">
      <c r="B63" s="24" t="s">
        <v>37</v>
      </c>
      <c r="C63" s="2" t="s">
        <v>38</v>
      </c>
      <c r="D63" s="2" t="s">
        <v>39</v>
      </c>
      <c r="E63" s="2" t="s">
        <v>40</v>
      </c>
      <c r="F63" s="2" t="s">
        <v>41</v>
      </c>
      <c r="G63" s="2" t="s">
        <v>42</v>
      </c>
      <c r="H63" s="2" t="s">
        <v>43</v>
      </c>
      <c r="I63" s="2" t="s">
        <v>44</v>
      </c>
      <c r="J63" s="2" t="s">
        <v>45</v>
      </c>
    </row>
    <row r="64" spans="2:10">
      <c r="B64" s="2">
        <v>1</v>
      </c>
      <c r="C64" s="2">
        <v>1</v>
      </c>
      <c r="D64" s="2">
        <f>(B25-$C$37)/$P$47</f>
        <v>-3.163634241977086</v>
      </c>
      <c r="E64" s="2">
        <f>(C25-$C$37)/$P$47</f>
        <v>-2.2942385724261309</v>
      </c>
      <c r="F64">
        <v>-0.49919999999999998</v>
      </c>
      <c r="G64">
        <v>-0.48909999999999998</v>
      </c>
      <c r="H64" s="2">
        <f>0.0109</f>
        <v>1.09E-2</v>
      </c>
      <c r="I64" s="2">
        <f>H64*36</f>
        <v>0.39239999999999997</v>
      </c>
      <c r="J64" s="2">
        <f>(C64-I64)^2/I64</f>
        <v>0.9408199796126403</v>
      </c>
    </row>
    <row r="65" spans="2:10">
      <c r="B65" s="2">
        <v>2</v>
      </c>
      <c r="C65" s="2">
        <v>1</v>
      </c>
      <c r="D65" s="2">
        <f>(D25-$C$37)/$P$47</f>
        <v>-2.2942385724261309</v>
      </c>
      <c r="E65" s="2">
        <f>(E25-$C$37)/$P$47</f>
        <v>-1.4248429028751757</v>
      </c>
      <c r="F65">
        <v>-0.48909999999999998</v>
      </c>
      <c r="G65" s="2">
        <v>-0.4229</v>
      </c>
      <c r="H65" s="2">
        <f t="shared" ref="H65:H68" si="12">G65-F65</f>
        <v>6.6199999999999981E-2</v>
      </c>
      <c r="I65" s="2">
        <f t="shared" ref="I65:I69" si="13">H65*36</f>
        <v>2.3831999999999995</v>
      </c>
      <c r="J65" s="2">
        <f t="shared" ref="J65:J69" si="14">(C65-I65)^2/I65</f>
        <v>0.8028038939241352</v>
      </c>
    </row>
    <row r="66" spans="2:10">
      <c r="B66" s="2">
        <v>3</v>
      </c>
      <c r="C66" s="2">
        <v>6</v>
      </c>
      <c r="D66" s="2">
        <f>(F25-$C$37)/$P$47</f>
        <v>-1.4248429028751757</v>
      </c>
      <c r="E66" s="2">
        <f>(G25-$C$37)/$P$47</f>
        <v>-0.55544723332422041</v>
      </c>
      <c r="F66" s="2">
        <v>-0.4229</v>
      </c>
      <c r="G66" s="2">
        <v>-0.2107</v>
      </c>
      <c r="H66" s="2">
        <f t="shared" si="12"/>
        <v>0.2122</v>
      </c>
      <c r="I66" s="2">
        <f t="shared" si="13"/>
        <v>7.6391999999999998</v>
      </c>
      <c r="J66" s="2">
        <f t="shared" si="14"/>
        <v>0.35173534401508</v>
      </c>
    </row>
    <row r="67" spans="2:10">
      <c r="B67" s="2">
        <v>4</v>
      </c>
      <c r="C67" s="2">
        <v>18</v>
      </c>
      <c r="D67" s="2">
        <f>(H25-$C$37)/$P$47</f>
        <v>-0.55544723332422041</v>
      </c>
      <c r="E67" s="2">
        <f>(I25-$C$37)/$P$47</f>
        <v>0.31394843622673485</v>
      </c>
      <c r="F67" s="2">
        <v>-0.2107</v>
      </c>
      <c r="G67" s="2">
        <v>0.1232</v>
      </c>
      <c r="H67" s="2">
        <f t="shared" si="12"/>
        <v>0.33389999999999997</v>
      </c>
      <c r="I67" s="2">
        <f t="shared" si="13"/>
        <v>12.020399999999999</v>
      </c>
      <c r="J67" s="2">
        <f t="shared" si="14"/>
        <v>2.9745778975741257</v>
      </c>
    </row>
    <row r="68" spans="2:10">
      <c r="B68" s="2">
        <v>5</v>
      </c>
      <c r="C68" s="2">
        <v>4</v>
      </c>
      <c r="D68" s="2">
        <f>(J25-$C$37)/$P$47</f>
        <v>0.31394843622673485</v>
      </c>
      <c r="E68" s="2">
        <f>(K25-$C$37)/$P$47</f>
        <v>1.1833441057776901</v>
      </c>
      <c r="F68" s="2">
        <v>0.1232</v>
      </c>
      <c r="G68" s="2">
        <v>0.38169999999999998</v>
      </c>
      <c r="H68" s="2">
        <f t="shared" si="12"/>
        <v>0.25849999999999995</v>
      </c>
      <c r="I68" s="2">
        <f t="shared" si="13"/>
        <v>9.3059999999999974</v>
      </c>
      <c r="J68" s="2">
        <f t="shared" si="14"/>
        <v>3.0253208682570367</v>
      </c>
    </row>
    <row r="69" spans="2:10">
      <c r="B69" s="2">
        <v>6</v>
      </c>
      <c r="C69" s="2">
        <v>6</v>
      </c>
      <c r="D69" s="2">
        <f>(L25-$C$37)/$P$47</f>
        <v>1.1833441057776901</v>
      </c>
      <c r="E69" s="2">
        <f>(M25-$C$37)/$P$47</f>
        <v>2.0527397753286452</v>
      </c>
      <c r="F69" s="2">
        <v>0.38169999999999998</v>
      </c>
      <c r="G69" s="2">
        <v>0.48</v>
      </c>
      <c r="H69" s="2">
        <f>0.1183</f>
        <v>0.1183</v>
      </c>
      <c r="I69" s="2">
        <f t="shared" si="13"/>
        <v>4.2587999999999999</v>
      </c>
      <c r="J69" s="2">
        <f t="shared" si="14"/>
        <v>0.7118853761622993</v>
      </c>
    </row>
    <row r="71" spans="2:10">
      <c r="B71" s="2" t="s">
        <v>36</v>
      </c>
      <c r="C71" s="2">
        <f>SUM(J64:J69)</f>
        <v>8.8071433595453179</v>
      </c>
    </row>
    <row r="72" spans="2:10">
      <c r="B72" s="2" t="s">
        <v>46</v>
      </c>
      <c r="C72" s="2">
        <v>7.8150000000000004</v>
      </c>
    </row>
    <row r="74" spans="2:10">
      <c r="B74" t="s">
        <v>48</v>
      </c>
    </row>
    <row r="75" spans="2:10">
      <c r="B75" s="22" t="s">
        <v>47</v>
      </c>
    </row>
  </sheetData>
  <mergeCells count="18">
    <mergeCell ref="L24:M24"/>
    <mergeCell ref="B24:C24"/>
    <mergeCell ref="D24:E24"/>
    <mergeCell ref="F24:G24"/>
    <mergeCell ref="H24:I24"/>
    <mergeCell ref="J24:K24"/>
    <mergeCell ref="L27:M27"/>
    <mergeCell ref="B26:C26"/>
    <mergeCell ref="D26:E26"/>
    <mergeCell ref="F26:G26"/>
    <mergeCell ref="H26:I26"/>
    <mergeCell ref="J26:K26"/>
    <mergeCell ref="L26:M26"/>
    <mergeCell ref="B27:C27"/>
    <mergeCell ref="D27:E27"/>
    <mergeCell ref="F27:G27"/>
    <mergeCell ref="H27:I27"/>
    <mergeCell ref="J27:K2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327C-A666-4D5A-9AEE-08BDD3A52E20}">
  <dimension ref="A2:S65"/>
  <sheetViews>
    <sheetView tabSelected="1" workbookViewId="0">
      <selection activeCell="F70" sqref="F70"/>
    </sheetView>
  </sheetViews>
  <sheetFormatPr defaultColWidth="9.09765625" defaultRowHeight="13.8"/>
  <cols>
    <col min="1" max="2" width="9.09765625" style="2"/>
    <col min="3" max="3" width="10.09765625" style="2" bestFit="1" customWidth="1"/>
    <col min="4" max="16384" width="9.09765625" style="2"/>
  </cols>
  <sheetData>
    <row r="2" spans="1:19" ht="16.2">
      <c r="B2" s="6" t="s">
        <v>0</v>
      </c>
    </row>
    <row r="4" spans="1:19" ht="15">
      <c r="B4" s="11"/>
      <c r="C4" s="11"/>
      <c r="D4" s="11"/>
      <c r="E4" s="11"/>
      <c r="F4" s="11"/>
      <c r="G4" s="11"/>
      <c r="I4" s="4"/>
    </row>
    <row r="5" spans="1:19">
      <c r="B5" s="2" t="s">
        <v>2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49</v>
      </c>
      <c r="I5" s="2" t="s">
        <v>14</v>
      </c>
      <c r="J5" s="2" t="s">
        <v>11</v>
      </c>
    </row>
    <row r="6" spans="1:19" ht="15">
      <c r="B6" s="2">
        <v>1</v>
      </c>
      <c r="C6" s="5">
        <v>5</v>
      </c>
      <c r="D6" s="2">
        <v>15</v>
      </c>
      <c r="E6" s="2">
        <f>C6*D6</f>
        <v>75</v>
      </c>
      <c r="F6" s="2">
        <f t="shared" ref="F6:F14" si="0">ABS(C6-$C$22)*D6</f>
        <v>114.45000000000002</v>
      </c>
      <c r="G6" s="2">
        <f t="shared" ref="G6:G14" si="1">ABS(C6-$C$22)^2*D6</f>
        <v>873.25350000000014</v>
      </c>
      <c r="H6" s="2">
        <f t="shared" ref="H6:H14" si="2">ABS(C6-$C$22)^3*D6</f>
        <v>6662.9242050000021</v>
      </c>
      <c r="I6" s="2">
        <f>D6</f>
        <v>15</v>
      </c>
      <c r="J6" s="2">
        <f>D6/200</f>
        <v>7.4999999999999997E-2</v>
      </c>
    </row>
    <row r="7" spans="1:19" ht="15">
      <c r="B7" s="2">
        <v>2</v>
      </c>
      <c r="C7" s="5">
        <v>7</v>
      </c>
      <c r="D7" s="2">
        <v>26</v>
      </c>
      <c r="E7" s="2">
        <f t="shared" ref="E7:E14" si="3">C7*D7</f>
        <v>182</v>
      </c>
      <c r="F7" s="2">
        <f t="shared" si="0"/>
        <v>146.38000000000002</v>
      </c>
      <c r="G7" s="2">
        <f t="shared" si="1"/>
        <v>824.11940000000027</v>
      </c>
      <c r="H7" s="2">
        <f t="shared" si="2"/>
        <v>4639.7922220000019</v>
      </c>
      <c r="I7" s="2">
        <f t="shared" ref="I7:I14" si="4">I6+D7</f>
        <v>41</v>
      </c>
      <c r="J7" s="2">
        <f t="shared" ref="J7:J14" si="5">D7/200</f>
        <v>0.13</v>
      </c>
    </row>
    <row r="8" spans="1:19" ht="15">
      <c r="B8" s="2">
        <v>3</v>
      </c>
      <c r="C8" s="5">
        <v>9</v>
      </c>
      <c r="D8" s="2">
        <v>25</v>
      </c>
      <c r="E8" s="2">
        <f t="shared" si="3"/>
        <v>225</v>
      </c>
      <c r="F8" s="2">
        <f t="shared" si="0"/>
        <v>90.750000000000014</v>
      </c>
      <c r="G8" s="2">
        <f t="shared" si="1"/>
        <v>329.42250000000013</v>
      </c>
      <c r="H8" s="2">
        <f t="shared" si="2"/>
        <v>1195.8036750000008</v>
      </c>
      <c r="I8" s="2">
        <f t="shared" si="4"/>
        <v>66</v>
      </c>
      <c r="J8" s="2">
        <f t="shared" si="5"/>
        <v>0.125</v>
      </c>
    </row>
    <row r="9" spans="1:19" ht="15">
      <c r="B9" s="2">
        <v>4</v>
      </c>
      <c r="C9" s="5">
        <v>11</v>
      </c>
      <c r="D9" s="2">
        <v>30</v>
      </c>
      <c r="E9" s="2">
        <f t="shared" si="3"/>
        <v>330</v>
      </c>
      <c r="F9" s="2">
        <f t="shared" si="0"/>
        <v>48.90000000000002</v>
      </c>
      <c r="G9" s="2">
        <f t="shared" si="1"/>
        <v>79.707000000000079</v>
      </c>
      <c r="H9" s="2">
        <f t="shared" si="2"/>
        <v>129.92241000000018</v>
      </c>
      <c r="I9" s="2">
        <f t="shared" si="4"/>
        <v>96</v>
      </c>
      <c r="J9" s="2">
        <f t="shared" si="5"/>
        <v>0.15</v>
      </c>
    </row>
    <row r="10" spans="1:19" ht="15">
      <c r="B10" s="2">
        <v>5</v>
      </c>
      <c r="C10" s="5">
        <v>13</v>
      </c>
      <c r="D10" s="2">
        <v>26</v>
      </c>
      <c r="E10" s="2">
        <f t="shared" si="3"/>
        <v>338</v>
      </c>
      <c r="F10" s="2">
        <f t="shared" si="0"/>
        <v>9.6199999999999797</v>
      </c>
      <c r="G10" s="2">
        <f t="shared" si="1"/>
        <v>3.5593999999999846</v>
      </c>
      <c r="H10" s="2">
        <f t="shared" si="2"/>
        <v>1.3169779999999915</v>
      </c>
      <c r="I10" s="2">
        <f t="shared" si="4"/>
        <v>122</v>
      </c>
      <c r="J10" s="2">
        <f t="shared" si="5"/>
        <v>0.13</v>
      </c>
    </row>
    <row r="11" spans="1:19" ht="15">
      <c r="B11" s="2">
        <v>6</v>
      </c>
      <c r="C11" s="5">
        <v>15</v>
      </c>
      <c r="D11" s="2">
        <v>21</v>
      </c>
      <c r="E11" s="2">
        <f t="shared" si="3"/>
        <v>315</v>
      </c>
      <c r="F11" s="2">
        <f t="shared" si="0"/>
        <v>49.769999999999982</v>
      </c>
      <c r="G11" s="2">
        <f t="shared" si="1"/>
        <v>117.95489999999992</v>
      </c>
      <c r="H11" s="2">
        <f t="shared" si="2"/>
        <v>279.55311299999977</v>
      </c>
      <c r="I11" s="2">
        <f t="shared" si="4"/>
        <v>143</v>
      </c>
      <c r="J11" s="2">
        <f t="shared" si="5"/>
        <v>0.105</v>
      </c>
    </row>
    <row r="12" spans="1:19" ht="15">
      <c r="B12" s="2">
        <v>7</v>
      </c>
      <c r="C12" s="5">
        <v>17</v>
      </c>
      <c r="D12" s="2">
        <v>24</v>
      </c>
      <c r="E12" s="2">
        <f t="shared" si="3"/>
        <v>408</v>
      </c>
      <c r="F12" s="2">
        <f t="shared" si="0"/>
        <v>104.87999999999998</v>
      </c>
      <c r="G12" s="2">
        <f t="shared" si="1"/>
        <v>458.32559999999989</v>
      </c>
      <c r="H12" s="2">
        <f t="shared" si="2"/>
        <v>2002.8828719999992</v>
      </c>
      <c r="I12" s="2">
        <f t="shared" si="4"/>
        <v>167</v>
      </c>
      <c r="J12" s="2">
        <f t="shared" si="5"/>
        <v>0.12</v>
      </c>
    </row>
    <row r="13" spans="1:19" ht="15">
      <c r="A13" s="3"/>
      <c r="B13" s="3">
        <v>8</v>
      </c>
      <c r="C13" s="11">
        <v>19</v>
      </c>
      <c r="D13" s="3">
        <v>20</v>
      </c>
      <c r="E13" s="3">
        <f t="shared" si="3"/>
        <v>380</v>
      </c>
      <c r="F13" s="3">
        <f t="shared" si="0"/>
        <v>127.39999999999998</v>
      </c>
      <c r="G13" s="3">
        <f t="shared" si="1"/>
        <v>811.53799999999978</v>
      </c>
      <c r="H13" s="2">
        <f t="shared" si="2"/>
        <v>5169.4970599999979</v>
      </c>
      <c r="I13" s="2">
        <f t="shared" si="4"/>
        <v>187</v>
      </c>
      <c r="J13" s="2">
        <f t="shared" si="5"/>
        <v>0.1</v>
      </c>
      <c r="K13" s="3"/>
      <c r="L13" s="3"/>
      <c r="M13" s="3"/>
    </row>
    <row r="14" spans="1:19" ht="15">
      <c r="A14" s="3"/>
      <c r="B14" s="3">
        <v>9</v>
      </c>
      <c r="C14" s="11">
        <v>21</v>
      </c>
      <c r="D14" s="3">
        <v>13</v>
      </c>
      <c r="E14" s="3">
        <f t="shared" si="3"/>
        <v>273</v>
      </c>
      <c r="F14" s="3">
        <f t="shared" si="0"/>
        <v>108.80999999999999</v>
      </c>
      <c r="G14" s="3">
        <f t="shared" si="1"/>
        <v>910.73969999999986</v>
      </c>
      <c r="H14" s="2">
        <f t="shared" si="2"/>
        <v>7622.8912889999974</v>
      </c>
      <c r="I14" s="2">
        <f t="shared" si="4"/>
        <v>200</v>
      </c>
      <c r="J14" s="2">
        <f t="shared" si="5"/>
        <v>6.5000000000000002E-2</v>
      </c>
      <c r="K14" s="3"/>
      <c r="L14" s="3"/>
      <c r="M14" s="3"/>
    </row>
    <row r="15" spans="1:19" ht="15.75" thickBot="1">
      <c r="A15" s="3"/>
      <c r="B15" s="3"/>
      <c r="C15" s="11"/>
      <c r="D15" s="3"/>
      <c r="E15" s="3"/>
      <c r="F15" s="3"/>
      <c r="G15" s="3"/>
      <c r="J15" s="3"/>
      <c r="K15" s="3"/>
      <c r="L15" s="3"/>
      <c r="M15" s="3"/>
    </row>
    <row r="16" spans="1:19" ht="15.75" thickBot="1">
      <c r="A16" s="16" t="s">
        <v>2</v>
      </c>
      <c r="B16" s="31">
        <v>1</v>
      </c>
      <c r="C16" s="31"/>
      <c r="D16" s="31">
        <v>2</v>
      </c>
      <c r="E16" s="31"/>
      <c r="F16" s="31">
        <v>3</v>
      </c>
      <c r="G16" s="31"/>
      <c r="H16" s="31">
        <v>4</v>
      </c>
      <c r="I16" s="31"/>
      <c r="J16" s="31">
        <v>5</v>
      </c>
      <c r="K16" s="31"/>
      <c r="L16" s="31">
        <v>6</v>
      </c>
      <c r="M16" s="32"/>
      <c r="N16" s="33">
        <v>7</v>
      </c>
      <c r="O16" s="34"/>
      <c r="P16" s="34">
        <v>8</v>
      </c>
      <c r="Q16" s="34"/>
      <c r="R16" s="34">
        <v>9</v>
      </c>
      <c r="S16" s="35"/>
    </row>
    <row r="17" spans="1:19" ht="15.75" thickBot="1">
      <c r="A17" s="17" t="s">
        <v>3</v>
      </c>
      <c r="B17" s="25">
        <f>C6-1</f>
        <v>4</v>
      </c>
      <c r="C17" s="20">
        <f>C6+1</f>
        <v>6</v>
      </c>
      <c r="D17" s="20">
        <f>C7-1</f>
        <v>6</v>
      </c>
      <c r="E17" s="20">
        <f>C7+1</f>
        <v>8</v>
      </c>
      <c r="F17" s="20">
        <f>E17</f>
        <v>8</v>
      </c>
      <c r="G17" s="20">
        <v>10</v>
      </c>
      <c r="H17" s="20">
        <f>10</f>
        <v>10</v>
      </c>
      <c r="I17" s="20">
        <f>12</f>
        <v>12</v>
      </c>
      <c r="J17" s="20">
        <f t="shared" ref="J17" si="6">I17</f>
        <v>12</v>
      </c>
      <c r="K17" s="20">
        <v>14</v>
      </c>
      <c r="L17" s="20">
        <f t="shared" ref="L17:R17" si="7">K17</f>
        <v>14</v>
      </c>
      <c r="M17" s="21">
        <v>16</v>
      </c>
      <c r="N17" s="20">
        <f t="shared" si="7"/>
        <v>16</v>
      </c>
      <c r="O17" s="21">
        <v>18</v>
      </c>
      <c r="P17" s="20">
        <f t="shared" si="7"/>
        <v>18</v>
      </c>
      <c r="Q17" s="21">
        <v>20</v>
      </c>
      <c r="R17" s="20">
        <f t="shared" si="7"/>
        <v>20</v>
      </c>
      <c r="S17" s="21">
        <v>22</v>
      </c>
    </row>
    <row r="18" spans="1:19" ht="14.4" thickBot="1">
      <c r="A18" s="17" t="s">
        <v>4</v>
      </c>
      <c r="B18" s="33">
        <v>15</v>
      </c>
      <c r="C18" s="34"/>
      <c r="D18" s="34">
        <v>26</v>
      </c>
      <c r="E18" s="34"/>
      <c r="F18" s="34">
        <v>25</v>
      </c>
      <c r="G18" s="34"/>
      <c r="H18" s="34">
        <v>30</v>
      </c>
      <c r="I18" s="34"/>
      <c r="J18" s="34">
        <v>26</v>
      </c>
      <c r="K18" s="34"/>
      <c r="L18" s="34">
        <f>21</f>
        <v>21</v>
      </c>
      <c r="M18" s="35"/>
      <c r="N18" s="33">
        <v>24</v>
      </c>
      <c r="O18" s="34"/>
      <c r="P18" s="34">
        <v>20</v>
      </c>
      <c r="Q18" s="34"/>
      <c r="R18" s="34">
        <v>13</v>
      </c>
      <c r="S18" s="35"/>
    </row>
    <row r="19" spans="1:19" ht="14.4" thickBot="1">
      <c r="A19" s="18" t="s">
        <v>5</v>
      </c>
      <c r="B19" s="26">
        <f>B17+(C17-B17)/2</f>
        <v>5</v>
      </c>
      <c r="C19" s="27"/>
      <c r="D19" s="27">
        <f>D17+(E17-D17)/2</f>
        <v>7</v>
      </c>
      <c r="E19" s="27"/>
      <c r="F19" s="27">
        <f t="shared" ref="F19" si="8">F17+(G17-F17)/2</f>
        <v>9</v>
      </c>
      <c r="G19" s="27"/>
      <c r="H19" s="27">
        <f t="shared" ref="H19" si="9">H17+(I17-H17)/2</f>
        <v>11</v>
      </c>
      <c r="I19" s="27"/>
      <c r="J19" s="27">
        <f t="shared" ref="J19" si="10">J17+(K17-J17)/2</f>
        <v>13</v>
      </c>
      <c r="K19" s="27"/>
      <c r="L19" s="27">
        <f>L17+(M17-L17)/2</f>
        <v>15</v>
      </c>
      <c r="M19" s="28"/>
      <c r="N19" s="27">
        <f t="shared" ref="N19" si="11">N17+(O17-N17)/2</f>
        <v>17</v>
      </c>
      <c r="O19" s="28"/>
      <c r="P19" s="27">
        <f t="shared" ref="P19" si="12">P17+(Q17-P17)/2</f>
        <v>19</v>
      </c>
      <c r="Q19" s="28"/>
      <c r="R19" s="27">
        <f>R17+(S17-R17)/2</f>
        <v>21</v>
      </c>
      <c r="S19" s="28"/>
    </row>
    <row r="20" spans="1:19" ht="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2" spans="1:19">
      <c r="B22" s="2" t="s">
        <v>12</v>
      </c>
      <c r="C22" s="5">
        <f>SUM(E6:E14)/SUM(D6:D14)</f>
        <v>12.63</v>
      </c>
    </row>
    <row r="25" spans="1:19">
      <c r="K25" s="2" t="s">
        <v>23</v>
      </c>
    </row>
    <row r="26" spans="1:19">
      <c r="B26" s="2" t="s">
        <v>20</v>
      </c>
      <c r="G26" s="22" t="s">
        <v>18</v>
      </c>
      <c r="K26" s="2" t="s">
        <v>17</v>
      </c>
      <c r="L26" s="2">
        <f>SUM(G6:G14)/SUM(D6:D14)</f>
        <v>22.043099999999999</v>
      </c>
      <c r="O26" s="2" t="s">
        <v>26</v>
      </c>
    </row>
    <row r="27" spans="1:19">
      <c r="B27" s="2" t="s">
        <v>21</v>
      </c>
      <c r="C27" s="2">
        <f>H17+2*((H18-F18)/((H18-F18)+(H18-J18)))</f>
        <v>11.111111111111111</v>
      </c>
      <c r="G27" s="2" t="s">
        <v>15</v>
      </c>
      <c r="H27" s="5">
        <f>S17-B17</f>
        <v>18</v>
      </c>
      <c r="O27" s="23" t="s">
        <v>27</v>
      </c>
      <c r="P27" s="2">
        <f>SQRT(L26)</f>
        <v>4.6950079872136534</v>
      </c>
    </row>
    <row r="31" spans="1:19">
      <c r="B31" s="2" t="s">
        <v>22</v>
      </c>
      <c r="G31" s="22" t="s">
        <v>19</v>
      </c>
      <c r="K31" s="22" t="s">
        <v>24</v>
      </c>
      <c r="O31" s="22" t="s">
        <v>28</v>
      </c>
    </row>
    <row r="32" spans="1:19" ht="15">
      <c r="B32" s="2" t="s">
        <v>13</v>
      </c>
      <c r="C32" s="2">
        <f>J17+2/J18*(SUM(D6:D14)/2-I9)</f>
        <v>12.307692307692308</v>
      </c>
      <c r="G32" s="2" t="s">
        <v>16</v>
      </c>
      <c r="H32" s="2">
        <f>SUM(F6:F14)/SUM(D6:D14)</f>
        <v>4.0047999999999995</v>
      </c>
      <c r="K32" s="2" t="s">
        <v>25</v>
      </c>
      <c r="L32" s="2">
        <f>SUM(G6:G14)/199</f>
        <v>22.153869346733668</v>
      </c>
      <c r="O32" s="2" t="s">
        <v>29</v>
      </c>
      <c r="P32" s="2">
        <f>SQRT(L32)</f>
        <v>4.7067897070863136</v>
      </c>
    </row>
    <row r="37" spans="2:10">
      <c r="B37" s="2" t="s">
        <v>30</v>
      </c>
    </row>
    <row r="39" spans="2:10">
      <c r="B39" s="22" t="s">
        <v>32</v>
      </c>
      <c r="E39" s="22" t="s">
        <v>33</v>
      </c>
    </row>
    <row r="40" spans="2:10" ht="15">
      <c r="B40" s="2" t="s">
        <v>31</v>
      </c>
      <c r="C40" s="2">
        <f>P27/C22</f>
        <v>0.37173459914597412</v>
      </c>
      <c r="E40" s="2" t="s">
        <v>34</v>
      </c>
      <c r="F40" s="2">
        <f>H32/C22</f>
        <v>0.31708630245447339</v>
      </c>
    </row>
    <row r="46" spans="2:10" ht="16.2">
      <c r="B46" s="1" t="s">
        <v>35</v>
      </c>
    </row>
    <row r="48" spans="2:10" ht="16.2">
      <c r="B48" s="24" t="s">
        <v>37</v>
      </c>
      <c r="C48" s="2" t="s">
        <v>38</v>
      </c>
      <c r="D48" s="2" t="s">
        <v>39</v>
      </c>
      <c r="E48" s="2" t="s">
        <v>40</v>
      </c>
      <c r="F48" s="2" t="s">
        <v>41</v>
      </c>
      <c r="G48" s="2" t="s">
        <v>42</v>
      </c>
      <c r="H48" s="2" t="s">
        <v>43</v>
      </c>
      <c r="I48" s="2" t="s">
        <v>44</v>
      </c>
      <c r="J48" s="2" t="s">
        <v>45</v>
      </c>
    </row>
    <row r="49" spans="2:10" ht="15">
      <c r="B49" s="2">
        <v>1</v>
      </c>
      <c r="C49" s="2">
        <v>15</v>
      </c>
      <c r="D49" s="5">
        <f>(B17-$C$22)/$P$32</f>
        <v>-1.8335214736717667</v>
      </c>
      <c r="E49" s="5">
        <f>(C17-$C$22)/$P$32</f>
        <v>-1.4086034032959227</v>
      </c>
      <c r="F49">
        <v>-0.46710000000000002</v>
      </c>
      <c r="G49">
        <v>-0.42070000000000002</v>
      </c>
      <c r="H49" s="2">
        <f>0.5+G49</f>
        <v>7.9299999999999982E-2</v>
      </c>
      <c r="I49" s="2">
        <f>H49*200</f>
        <v>15.859999999999996</v>
      </c>
      <c r="J49" s="2">
        <f>(C49-I49)^2/I49</f>
        <v>4.6633039092055052E-2</v>
      </c>
    </row>
    <row r="50" spans="2:10" ht="15">
      <c r="B50" s="2">
        <v>2</v>
      </c>
      <c r="C50" s="2">
        <v>26</v>
      </c>
      <c r="D50" s="5">
        <f>(6-$C$22)/$P$32</f>
        <v>-1.4086034032959227</v>
      </c>
      <c r="E50" s="5">
        <f>(8-$C$22)/$P$32</f>
        <v>-0.98368533292007887</v>
      </c>
      <c r="F50">
        <v>-0.42070000000000002</v>
      </c>
      <c r="G50" s="2">
        <v>-0.33889999999999998</v>
      </c>
      <c r="H50" s="2">
        <f t="shared" ref="H50:H54" si="13">G50-F50</f>
        <v>8.1800000000000039E-2</v>
      </c>
      <c r="I50" s="2">
        <f t="shared" ref="I50:I57" si="14">H50*200</f>
        <v>16.360000000000007</v>
      </c>
      <c r="J50" s="2">
        <f t="shared" ref="J50:J57" si="15">(C50-I50)^2/I50</f>
        <v>5.6802933985329975</v>
      </c>
    </row>
    <row r="51" spans="2:10" ht="15">
      <c r="B51" s="2">
        <v>3</v>
      </c>
      <c r="C51" s="2">
        <v>25</v>
      </c>
      <c r="D51" s="5">
        <f>(8-$C$22)/$P$32</f>
        <v>-0.98368533292007887</v>
      </c>
      <c r="E51" s="5">
        <f>(10-$C$22)/$P$32</f>
        <v>-0.55876726254423492</v>
      </c>
      <c r="F51" s="2">
        <v>-0.33889999999999998</v>
      </c>
      <c r="G51" s="2">
        <v>-0.21229999999999999</v>
      </c>
      <c r="H51" s="2">
        <f t="shared" si="13"/>
        <v>0.12659999999999999</v>
      </c>
      <c r="I51" s="2">
        <f t="shared" si="14"/>
        <v>25.319999999999997</v>
      </c>
      <c r="J51" s="2">
        <f t="shared" si="15"/>
        <v>4.0442338072669004E-3</v>
      </c>
    </row>
    <row r="52" spans="2:10" ht="15">
      <c r="B52" s="2">
        <v>4</v>
      </c>
      <c r="C52" s="2">
        <v>30</v>
      </c>
      <c r="D52" s="5">
        <f>(10-$C$22)/$P$32</f>
        <v>-0.55876726254423492</v>
      </c>
      <c r="E52" s="5">
        <f>(12-$C$22)/$P$32</f>
        <v>-0.133849192168391</v>
      </c>
      <c r="F52" s="2">
        <v>-0.21229999999999999</v>
      </c>
      <c r="G52" s="2">
        <v>-5.1700000000000003E-2</v>
      </c>
      <c r="H52" s="2">
        <f t="shared" si="13"/>
        <v>0.16059999999999999</v>
      </c>
      <c r="I52" s="2">
        <f t="shared" si="14"/>
        <v>32.119999999999997</v>
      </c>
      <c r="J52" s="2">
        <f t="shared" si="15"/>
        <v>0.13992528019925246</v>
      </c>
    </row>
    <row r="53" spans="2:10" ht="15">
      <c r="B53" s="2">
        <v>5</v>
      </c>
      <c r="C53" s="2">
        <v>26</v>
      </c>
      <c r="D53" s="5">
        <f>(12-$C$22)/$P$32</f>
        <v>-0.133849192168391</v>
      </c>
      <c r="E53" s="5">
        <f>(14-$C$22)/$P$32</f>
        <v>0.29106887820745292</v>
      </c>
      <c r="F53" s="2">
        <v>-5.1700000000000003E-2</v>
      </c>
      <c r="G53">
        <v>0.11409999999999999</v>
      </c>
      <c r="H53" s="2">
        <f t="shared" si="13"/>
        <v>0.1658</v>
      </c>
      <c r="I53" s="2">
        <f t="shared" si="14"/>
        <v>33.160000000000004</v>
      </c>
      <c r="J53" s="2">
        <f t="shared" si="15"/>
        <v>1.5460072376357072</v>
      </c>
    </row>
    <row r="54" spans="2:10" ht="15">
      <c r="B54" s="2">
        <v>6</v>
      </c>
      <c r="C54" s="2">
        <v>21</v>
      </c>
      <c r="D54" s="5">
        <f>(14-$C$22)/$P$32</f>
        <v>0.29106887820745292</v>
      </c>
      <c r="E54" s="5">
        <f>(16-$C$22)/$P$32</f>
        <v>0.71598694858329681</v>
      </c>
      <c r="F54">
        <v>0.11409999999999999</v>
      </c>
      <c r="G54">
        <v>0.26419999999999999</v>
      </c>
      <c r="H54" s="2">
        <f t="shared" si="13"/>
        <v>0.15010000000000001</v>
      </c>
      <c r="I54" s="2">
        <f t="shared" si="14"/>
        <v>30.020000000000003</v>
      </c>
      <c r="J54" s="2">
        <f t="shared" si="15"/>
        <v>2.7102065289806809</v>
      </c>
    </row>
    <row r="55" spans="2:10" ht="15">
      <c r="B55" s="2">
        <v>7</v>
      </c>
      <c r="C55" s="2">
        <v>24</v>
      </c>
      <c r="D55" s="5">
        <f>(16-$C$22)/$P$32</f>
        <v>0.71598694858329681</v>
      </c>
      <c r="E55" s="5">
        <f>(18-$C$22)/$P$32</f>
        <v>1.1409050189591408</v>
      </c>
      <c r="F55">
        <v>0.26419999999999999</v>
      </c>
      <c r="G55">
        <v>0.37290000000000001</v>
      </c>
      <c r="H55" s="2">
        <f>G55-F55</f>
        <v>0.10870000000000002</v>
      </c>
      <c r="I55" s="2">
        <f t="shared" si="14"/>
        <v>21.740000000000002</v>
      </c>
      <c r="J55" s="2">
        <f>(C55-I55)^2/I55</f>
        <v>0.23494020239190389</v>
      </c>
    </row>
    <row r="56" spans="2:10" ht="15">
      <c r="B56" s="2">
        <v>8</v>
      </c>
      <c r="C56" s="3">
        <v>20</v>
      </c>
      <c r="D56" s="5">
        <f>(18-$C$22)/$P$32</f>
        <v>1.1409050189591408</v>
      </c>
      <c r="E56" s="5">
        <f>(20-$C$22)/$P$32</f>
        <v>1.5658230893349847</v>
      </c>
      <c r="F56">
        <v>0.37290000000000001</v>
      </c>
      <c r="G56">
        <v>0.44180000000000003</v>
      </c>
      <c r="H56" s="2">
        <f>G56-F56</f>
        <v>6.8900000000000017E-2</v>
      </c>
      <c r="I56" s="2">
        <f t="shared" si="14"/>
        <v>13.780000000000003</v>
      </c>
      <c r="J56" s="2">
        <f t="shared" si="15"/>
        <v>2.8075761973875153</v>
      </c>
    </row>
    <row r="57" spans="2:10" ht="15">
      <c r="B57" s="2">
        <v>9</v>
      </c>
      <c r="C57" s="3">
        <v>13</v>
      </c>
      <c r="D57" s="5">
        <f>(20-$C$22)/$P$32</f>
        <v>1.5658230893349847</v>
      </c>
      <c r="E57" s="5">
        <f>(22-$C$22)/$P$32</f>
        <v>1.9907411597108287</v>
      </c>
      <c r="F57">
        <v>0.44180000000000003</v>
      </c>
      <c r="G57">
        <v>0.47720000000000001</v>
      </c>
      <c r="H57" s="2">
        <f>0.5-F57</f>
        <v>5.8199999999999974E-2</v>
      </c>
      <c r="I57" s="2">
        <f t="shared" si="14"/>
        <v>11.639999999999995</v>
      </c>
      <c r="J57" s="2">
        <f t="shared" si="15"/>
        <v>0.15890034364261288</v>
      </c>
    </row>
    <row r="59" spans="2:10" ht="15">
      <c r="B59"/>
    </row>
    <row r="62" spans="2:10" ht="15">
      <c r="B62" s="2" t="s">
        <v>36</v>
      </c>
      <c r="C62" s="2">
        <f>SUM(J49:J57)</f>
        <v>13.328526461669991</v>
      </c>
    </row>
    <row r="63" spans="2:10">
      <c r="B63" s="2" t="s">
        <v>46</v>
      </c>
      <c r="C63" s="2">
        <v>12.592000000000001</v>
      </c>
    </row>
    <row r="65" spans="2:2">
      <c r="B65" s="22" t="s">
        <v>50</v>
      </c>
    </row>
  </sheetData>
  <mergeCells count="27">
    <mergeCell ref="L16:M16"/>
    <mergeCell ref="B16:C16"/>
    <mergeCell ref="D16:E16"/>
    <mergeCell ref="F16:G16"/>
    <mergeCell ref="H16:I16"/>
    <mergeCell ref="J16:K16"/>
    <mergeCell ref="L19:M19"/>
    <mergeCell ref="B18:C18"/>
    <mergeCell ref="D18:E18"/>
    <mergeCell ref="F18:G18"/>
    <mergeCell ref="H18:I18"/>
    <mergeCell ref="J18:K18"/>
    <mergeCell ref="L18:M18"/>
    <mergeCell ref="B19:C19"/>
    <mergeCell ref="D19:E19"/>
    <mergeCell ref="F19:G19"/>
    <mergeCell ref="H19:I19"/>
    <mergeCell ref="J19:K19"/>
    <mergeCell ref="N16:O16"/>
    <mergeCell ref="P16:Q16"/>
    <mergeCell ref="R16:S16"/>
    <mergeCell ref="N19:O19"/>
    <mergeCell ref="P19:Q19"/>
    <mergeCell ref="R19:S19"/>
    <mergeCell ref="N18:O18"/>
    <mergeCell ref="P18:Q18"/>
    <mergeCell ref="R18:S1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Задача 1</vt:lpstr>
      <vt:lpstr>Задача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Frolov</dc:creator>
  <cp:lastModifiedBy>Andrew Froliv</cp:lastModifiedBy>
  <cp:lastPrinted>2026-03-24T18:14:23Z</cp:lastPrinted>
  <dcterms:created xsi:type="dcterms:W3CDTF">2026-03-24T17:05:25Z</dcterms:created>
  <dcterms:modified xsi:type="dcterms:W3CDTF">2026-03-25T05:35:09Z</dcterms:modified>
</cp:coreProperties>
</file>