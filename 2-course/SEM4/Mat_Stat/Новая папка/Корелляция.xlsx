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Uni\Portfolio\2-course\SEM4\Mat_Stat\Новая папка\"/>
    </mc:Choice>
  </mc:AlternateContent>
  <xr:revisionPtr revIDLastSave="0" documentId="13_ncr:1_{777656D2-0A37-4461-B390-CCB2CF236279}" xr6:coauthVersionLast="47" xr6:coauthVersionMax="47" xr10:uidLastSave="{00000000-0000-0000-0000-000000000000}"/>
  <bookViews>
    <workbookView xWindow="348" yWindow="708" windowWidth="20712" windowHeight="11004" firstSheet="2" activeTab="5" xr2:uid="{5E6DBADC-195F-449D-BEFF-14B09FF22D9B}"/>
  </bookViews>
  <sheets>
    <sheet name="Пример 1" sheetId="1" r:id="rId1"/>
    <sheet name="Пример 2" sheetId="2" r:id="rId2"/>
    <sheet name="Задача 3.1" sheetId="3" r:id="rId3"/>
    <sheet name="Задача 3.2" sheetId="4" r:id="rId4"/>
    <sheet name="Задача 4.1" sheetId="5" r:id="rId5"/>
    <sheet name="Задача 4.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6" l="1"/>
  <c r="G3" i="5"/>
  <c r="C8" i="4"/>
  <c r="C7" i="4"/>
  <c r="C6" i="4"/>
  <c r="C6" i="3"/>
  <c r="G9" i="2"/>
  <c r="G2" i="2"/>
  <c r="G2" i="1"/>
</calcChain>
</file>

<file path=xl/sharedStrings.xml><?xml version="1.0" encoding="utf-8"?>
<sst xmlns="http://schemas.openxmlformats.org/spreadsheetml/2006/main" count="47" uniqueCount="41">
  <si>
    <t>No</t>
  </si>
  <si>
    <t>X</t>
  </si>
  <si>
    <t>Y</t>
  </si>
  <si>
    <t>R_xy</t>
  </si>
  <si>
    <t>k</t>
  </si>
  <si>
    <t>k_кр</t>
  </si>
  <si>
    <t>Ф</t>
  </si>
  <si>
    <t>Форма - линейная</t>
  </si>
  <si>
    <t>На</t>
  </si>
  <si>
    <t>Направленность - положительная</t>
  </si>
  <si>
    <t>Оценка П</t>
  </si>
  <si>
    <t>Профессия</t>
  </si>
  <si>
    <t>Оценка С</t>
  </si>
  <si>
    <t>Профессор</t>
  </si>
  <si>
    <t>Врач</t>
  </si>
  <si>
    <t>Учитель школы</t>
  </si>
  <si>
    <t>Директор магазина</t>
  </si>
  <si>
    <t>Бухгалтер</t>
  </si>
  <si>
    <t>Банкир</t>
  </si>
  <si>
    <t>Водитель</t>
  </si>
  <si>
    <t>Журналист</t>
  </si>
  <si>
    <t>Программист</t>
  </si>
  <si>
    <t>R</t>
  </si>
  <si>
    <t>t</t>
  </si>
  <si>
    <t>t_кр</t>
  </si>
  <si>
    <t>Связь между мнениями преподавателя и студента является статистически значимой</t>
  </si>
  <si>
    <t>Ди-Джей</t>
  </si>
  <si>
    <t>Номера</t>
  </si>
  <si>
    <t>Стаж</t>
  </si>
  <si>
    <t>Время</t>
  </si>
  <si>
    <t>x</t>
  </si>
  <si>
    <t>y</t>
  </si>
  <si>
    <t>z</t>
  </si>
  <si>
    <t>r_xy</t>
  </si>
  <si>
    <t>r_xz</t>
  </si>
  <si>
    <t>r_zy</t>
  </si>
  <si>
    <t>№ п/п</t>
  </si>
  <si>
    <t>Агрессивность (Xagr)</t>
  </si>
  <si>
    <t>IQ (YIQ)</t>
  </si>
  <si>
    <t>Число посетителей</t>
  </si>
  <si>
    <t>Позиция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</si>
</sst>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'Пример 1'!$C$3:$C$12</c:f>
              <c:numCache>
                <c:formatCode>General</c:formatCode>
                <c:ptCount val="10"/>
                <c:pt idx="0">
                  <c:v>19</c:v>
                </c:pt>
                <c:pt idx="1">
                  <c:v>32</c:v>
                </c:pt>
                <c:pt idx="2">
                  <c:v>33</c:v>
                </c:pt>
                <c:pt idx="3">
                  <c:v>44</c:v>
                </c:pt>
                <c:pt idx="4">
                  <c:v>28</c:v>
                </c:pt>
                <c:pt idx="5">
                  <c:v>35</c:v>
                </c:pt>
                <c:pt idx="6">
                  <c:v>39</c:v>
                </c:pt>
                <c:pt idx="7">
                  <c:v>39</c:v>
                </c:pt>
                <c:pt idx="8">
                  <c:v>44</c:v>
                </c:pt>
                <c:pt idx="9">
                  <c:v>44</c:v>
                </c:pt>
              </c:numCache>
            </c:numRef>
          </c:xVal>
          <c:yVal>
            <c:numRef>
              <c:f>'Пример 1'!$D$3:$D$12</c:f>
              <c:numCache>
                <c:formatCode>General</c:formatCode>
                <c:ptCount val="10"/>
                <c:pt idx="0">
                  <c:v>17</c:v>
                </c:pt>
                <c:pt idx="1">
                  <c:v>7</c:v>
                </c:pt>
                <c:pt idx="2">
                  <c:v>17</c:v>
                </c:pt>
                <c:pt idx="3">
                  <c:v>28</c:v>
                </c:pt>
                <c:pt idx="4">
                  <c:v>27</c:v>
                </c:pt>
                <c:pt idx="5">
                  <c:v>31</c:v>
                </c:pt>
                <c:pt idx="6">
                  <c:v>20</c:v>
                </c:pt>
                <c:pt idx="7">
                  <c:v>17</c:v>
                </c:pt>
                <c:pt idx="8">
                  <c:v>35</c:v>
                </c:pt>
                <c:pt idx="9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2-45DB-9EBA-DD43CD243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95120"/>
        <c:axId val="1424796368"/>
      </c:scatterChart>
      <c:valAx>
        <c:axId val="142479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796368"/>
        <c:crosses val="autoZero"/>
        <c:crossBetween val="midCat"/>
        <c:majorUnit val="5"/>
        <c:minorUnit val="1"/>
      </c:valAx>
      <c:valAx>
        <c:axId val="142479636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79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'Пример 2'!$B$3:$B$12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7</c:v>
                </c:pt>
              </c:numCache>
            </c:numRef>
          </c:xVal>
          <c:yVal>
            <c:numRef>
              <c:f>'Пример 2'!$D$3:$D$12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D-42F3-8A7E-14484AFE9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531904"/>
        <c:axId val="1499532320"/>
      </c:scatterChart>
      <c:valAx>
        <c:axId val="14995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9532320"/>
        <c:crosses val="autoZero"/>
        <c:crossBetween val="midCat"/>
        <c:majorUnit val="1"/>
      </c:valAx>
      <c:valAx>
        <c:axId val="149953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95319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'Задача 3.1'!$C$3:$L$3</c:f>
              <c:numCache>
                <c:formatCode>General</c:formatCode>
                <c:ptCount val="10"/>
                <c:pt idx="0">
                  <c:v>32</c:v>
                </c:pt>
                <c:pt idx="1">
                  <c:v>15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28</c:v>
                </c:pt>
                <c:pt idx="6">
                  <c:v>21</c:v>
                </c:pt>
                <c:pt idx="7">
                  <c:v>29</c:v>
                </c:pt>
                <c:pt idx="8">
                  <c:v>23</c:v>
                </c:pt>
                <c:pt idx="9">
                  <c:v>17</c:v>
                </c:pt>
              </c:numCache>
            </c:numRef>
          </c:xVal>
          <c:yVal>
            <c:numRef>
              <c:f>'Задача 3.1'!$C$4:$L$4</c:f>
              <c:numCache>
                <c:formatCode>General</c:formatCode>
                <c:ptCount val="10"/>
                <c:pt idx="0">
                  <c:v>12</c:v>
                </c:pt>
                <c:pt idx="1">
                  <c:v>24</c:v>
                </c:pt>
                <c:pt idx="2">
                  <c:v>23</c:v>
                </c:pt>
                <c:pt idx="3">
                  <c:v>21</c:v>
                </c:pt>
                <c:pt idx="4">
                  <c:v>20</c:v>
                </c:pt>
                <c:pt idx="5">
                  <c:v>9</c:v>
                </c:pt>
                <c:pt idx="6">
                  <c:v>11</c:v>
                </c:pt>
                <c:pt idx="7">
                  <c:v>10</c:v>
                </c:pt>
                <c:pt idx="8">
                  <c:v>15</c:v>
                </c:pt>
                <c:pt idx="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5-4746-A3AE-3AAF89195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12896"/>
        <c:axId val="1661114976"/>
      </c:scatterChart>
      <c:valAx>
        <c:axId val="16611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1114976"/>
        <c:crosses val="autoZero"/>
        <c:crossBetween val="midCat"/>
      </c:valAx>
      <c:valAx>
        <c:axId val="16611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11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'Задача 3.2'!$C$2:$L$2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'Задача 3.2'!$C$4:$L$4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9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10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D-480A-8AB7-46376EF04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806192"/>
        <c:axId val="1655803696"/>
      </c:scatterChart>
      <c:valAx>
        <c:axId val="16558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803696"/>
        <c:crosses val="autoZero"/>
        <c:crossBetween val="midCat"/>
      </c:valAx>
      <c:valAx>
        <c:axId val="16558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8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'Задача 4.1'!$C$4:$C$17</c:f>
              <c:numCache>
                <c:formatCode>General</c:formatCode>
                <c:ptCount val="14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21</c:v>
                </c:pt>
                <c:pt idx="4">
                  <c:v>20</c:v>
                </c:pt>
                <c:pt idx="5">
                  <c:v>31</c:v>
                </c:pt>
                <c:pt idx="6">
                  <c:v>26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30</c:v>
                </c:pt>
                <c:pt idx="11">
                  <c:v>29</c:v>
                </c:pt>
                <c:pt idx="12">
                  <c:v>24</c:v>
                </c:pt>
                <c:pt idx="13">
                  <c:v>26</c:v>
                </c:pt>
              </c:numCache>
            </c:numRef>
          </c:xVal>
          <c:yVal>
            <c:numRef>
              <c:f>'Задача 4.1'!$D$4:$D$17</c:f>
              <c:numCache>
                <c:formatCode>General</c:formatCode>
                <c:ptCount val="14"/>
                <c:pt idx="0">
                  <c:v>100</c:v>
                </c:pt>
                <c:pt idx="1">
                  <c:v>115</c:v>
                </c:pt>
                <c:pt idx="2">
                  <c:v>117</c:v>
                </c:pt>
                <c:pt idx="3">
                  <c:v>119</c:v>
                </c:pt>
                <c:pt idx="4">
                  <c:v>134</c:v>
                </c:pt>
                <c:pt idx="5">
                  <c:v>94</c:v>
                </c:pt>
                <c:pt idx="6">
                  <c:v>105</c:v>
                </c:pt>
                <c:pt idx="7">
                  <c:v>103</c:v>
                </c:pt>
                <c:pt idx="8">
                  <c:v>111</c:v>
                </c:pt>
                <c:pt idx="9">
                  <c:v>124</c:v>
                </c:pt>
                <c:pt idx="10">
                  <c:v>122</c:v>
                </c:pt>
                <c:pt idx="11">
                  <c:v>109</c:v>
                </c:pt>
                <c:pt idx="12">
                  <c:v>110</c:v>
                </c:pt>
                <c:pt idx="1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E-428C-8CCB-2266407FF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333152"/>
        <c:axId val="1431479488"/>
      </c:scatterChart>
      <c:valAx>
        <c:axId val="165533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1479488"/>
        <c:crosses val="autoZero"/>
        <c:crossBetween val="midCat"/>
      </c:valAx>
      <c:valAx>
        <c:axId val="14314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33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 поле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'Задача 4.2'!$C$3:$C$11</c:f>
              <c:numCache>
                <c:formatCode>General</c:formatCode>
                <c:ptCount val="9"/>
                <c:pt idx="0">
                  <c:v>500</c:v>
                </c:pt>
                <c:pt idx="1">
                  <c:v>790</c:v>
                </c:pt>
                <c:pt idx="2">
                  <c:v>870</c:v>
                </c:pt>
                <c:pt idx="3">
                  <c:v>1500</c:v>
                </c:pt>
                <c:pt idx="4">
                  <c:v>2300</c:v>
                </c:pt>
                <c:pt idx="5">
                  <c:v>5600</c:v>
                </c:pt>
                <c:pt idx="6">
                  <c:v>100</c:v>
                </c:pt>
                <c:pt idx="7">
                  <c:v>20</c:v>
                </c:pt>
                <c:pt idx="8">
                  <c:v>5</c:v>
                </c:pt>
              </c:numCache>
            </c:numRef>
          </c:xVal>
          <c:yVal>
            <c:numRef>
              <c:f>'Задача 4.2'!$D$3:$D$11</c:f>
              <c:numCache>
                <c:formatCode>General</c:formatCode>
                <c:ptCount val="9"/>
                <c:pt idx="0">
                  <c:v>5.4</c:v>
                </c:pt>
                <c:pt idx="1">
                  <c:v>4.2</c:v>
                </c:pt>
                <c:pt idx="2">
                  <c:v>4</c:v>
                </c:pt>
                <c:pt idx="3">
                  <c:v>3.4</c:v>
                </c:pt>
                <c:pt idx="4">
                  <c:v>2.5</c:v>
                </c:pt>
                <c:pt idx="5">
                  <c:v>1</c:v>
                </c:pt>
                <c:pt idx="6">
                  <c:v>6.1</c:v>
                </c:pt>
                <c:pt idx="7">
                  <c:v>8.1999999999999993</c:v>
                </c:pt>
                <c:pt idx="8">
                  <c:v>14.6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A-43B7-8BF0-0B59A68B9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397392"/>
        <c:axId val="1662398224"/>
      </c:scatterChart>
      <c:valAx>
        <c:axId val="166239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2398224"/>
        <c:crosses val="autoZero"/>
        <c:crossBetween val="midCat"/>
        <c:majorUnit val="500"/>
      </c:valAx>
      <c:valAx>
        <c:axId val="16623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239739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179070</xdr:rowOff>
    </xdr:from>
    <xdr:to>
      <xdr:col>8</xdr:col>
      <xdr:colOff>304800</xdr:colOff>
      <xdr:row>30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2B3F4C4-76E6-4560-989E-A66D29F90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13</xdr:row>
      <xdr:rowOff>163830</xdr:rowOff>
    </xdr:from>
    <xdr:to>
      <xdr:col>7</xdr:col>
      <xdr:colOff>297180</xdr:colOff>
      <xdr:row>28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7C94F2-43BD-490C-99DC-5C389D92B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</xdr:row>
      <xdr:rowOff>106680</xdr:rowOff>
    </xdr:from>
    <xdr:to>
      <xdr:col>7</xdr:col>
      <xdr:colOff>247855</xdr:colOff>
      <xdr:row>7</xdr:row>
      <xdr:rowOff>2018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50B80F8-E0F4-419F-8D34-D527A29B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5700" y="472440"/>
          <a:ext cx="1467055" cy="8097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171450</xdr:rowOff>
    </xdr:from>
    <xdr:to>
      <xdr:col>8</xdr:col>
      <xdr:colOff>304800</xdr:colOff>
      <xdr:row>21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DC8C91A-DEC8-43DF-81B8-13E7725CF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28755</xdr:colOff>
      <xdr:row>8</xdr:row>
      <xdr:rowOff>173966</xdr:rowOff>
    </xdr:from>
    <xdr:to>
      <xdr:col>8</xdr:col>
      <xdr:colOff>373812</xdr:colOff>
      <xdr:row>23</xdr:row>
      <xdr:rowOff>113581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9C1B58-C3C2-4C26-B9CB-F0A82498C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4</xdr:row>
      <xdr:rowOff>0</xdr:rowOff>
    </xdr:from>
    <xdr:to>
      <xdr:col>12</xdr:col>
      <xdr:colOff>358140</xdr:colOff>
      <xdr:row>19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50A812-CE51-4D16-A64E-D4C6990C6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148590</xdr:rowOff>
    </xdr:from>
    <xdr:to>
      <xdr:col>7</xdr:col>
      <xdr:colOff>381000</xdr:colOff>
      <xdr:row>26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53267BE-0CAD-4A8F-B313-566C8EB3B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6D56-299C-490F-8DFC-5FD610C83311}">
  <dimension ref="B2:K34"/>
  <sheetViews>
    <sheetView topLeftCell="A9" workbookViewId="0">
      <selection activeCell="B33" sqref="B33:B34"/>
    </sheetView>
  </sheetViews>
  <sheetFormatPr defaultRowHeight="14.4" x14ac:dyDescent="0.3"/>
  <sheetData>
    <row r="2" spans="2:7" x14ac:dyDescent="0.3">
      <c r="B2" s="2" t="s">
        <v>0</v>
      </c>
      <c r="C2" s="1" t="s">
        <v>1</v>
      </c>
      <c r="D2" s="1" t="s">
        <v>2</v>
      </c>
      <c r="F2" t="s">
        <v>3</v>
      </c>
      <c r="G2">
        <f>PEARSON(C3:C12,D3:D12)</f>
        <v>0.54118979227421904</v>
      </c>
    </row>
    <row r="3" spans="2:7" x14ac:dyDescent="0.3">
      <c r="B3" s="2">
        <v>1</v>
      </c>
      <c r="C3" s="1">
        <v>19</v>
      </c>
      <c r="D3" s="1">
        <v>17</v>
      </c>
    </row>
    <row r="4" spans="2:7" x14ac:dyDescent="0.3">
      <c r="B4" s="2">
        <v>2</v>
      </c>
      <c r="C4" s="1">
        <v>32</v>
      </c>
      <c r="D4" s="1">
        <v>7</v>
      </c>
      <c r="F4" t="s">
        <v>4</v>
      </c>
      <c r="G4">
        <v>8</v>
      </c>
    </row>
    <row r="5" spans="2:7" x14ac:dyDescent="0.3">
      <c r="B5" s="2">
        <v>3</v>
      </c>
      <c r="C5" s="1">
        <v>33</v>
      </c>
      <c r="D5" s="1">
        <v>17</v>
      </c>
      <c r="F5" t="s">
        <v>5</v>
      </c>
      <c r="G5">
        <v>0.63</v>
      </c>
    </row>
    <row r="6" spans="2:7" x14ac:dyDescent="0.3">
      <c r="B6" s="2">
        <v>4</v>
      </c>
      <c r="C6" s="1">
        <v>44</v>
      </c>
      <c r="D6" s="1">
        <v>28</v>
      </c>
    </row>
    <row r="7" spans="2:7" x14ac:dyDescent="0.3">
      <c r="B7" s="2">
        <v>5</v>
      </c>
      <c r="C7" s="1">
        <v>28</v>
      </c>
      <c r="D7" s="1">
        <v>27</v>
      </c>
    </row>
    <row r="8" spans="2:7" x14ac:dyDescent="0.3">
      <c r="B8" s="2">
        <v>6</v>
      </c>
      <c r="C8" s="1">
        <v>35</v>
      </c>
      <c r="D8" s="1">
        <v>31</v>
      </c>
    </row>
    <row r="9" spans="2:7" x14ac:dyDescent="0.3">
      <c r="B9" s="2">
        <v>7</v>
      </c>
      <c r="C9" s="1">
        <v>39</v>
      </c>
      <c r="D9" s="1">
        <v>20</v>
      </c>
    </row>
    <row r="10" spans="2:7" x14ac:dyDescent="0.3">
      <c r="B10" s="2">
        <v>8</v>
      </c>
      <c r="C10" s="1">
        <v>39</v>
      </c>
      <c r="D10" s="1">
        <v>17</v>
      </c>
    </row>
    <row r="11" spans="2:7" x14ac:dyDescent="0.3">
      <c r="B11" s="2">
        <v>9</v>
      </c>
      <c r="C11" s="1">
        <v>44</v>
      </c>
      <c r="D11" s="1">
        <v>35</v>
      </c>
    </row>
    <row r="12" spans="2:7" x14ac:dyDescent="0.3">
      <c r="B12" s="2">
        <v>10</v>
      </c>
      <c r="C12" s="1">
        <v>44</v>
      </c>
      <c r="D12" s="1">
        <v>43</v>
      </c>
    </row>
    <row r="13" spans="2:7" x14ac:dyDescent="0.3">
      <c r="B13" t="s">
        <v>6</v>
      </c>
    </row>
    <row r="25" spans="11:11" x14ac:dyDescent="0.3">
      <c r="K25" t="s">
        <v>8</v>
      </c>
    </row>
    <row r="33" spans="2:2" x14ac:dyDescent="0.3">
      <c r="B33" t="s">
        <v>7</v>
      </c>
    </row>
    <row r="34" spans="2:2" x14ac:dyDescent="0.3">
      <c r="B34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A973-CCE1-4D42-B8FD-B0FA15F1D779}">
  <dimension ref="B2:G32"/>
  <sheetViews>
    <sheetView workbookViewId="0">
      <selection activeCell="C12" sqref="C12"/>
    </sheetView>
  </sheetViews>
  <sheetFormatPr defaultRowHeight="14.4" x14ac:dyDescent="0.3"/>
  <cols>
    <col min="2" max="2" width="9.109375" bestFit="1" customWidth="1"/>
    <col min="3" max="3" width="18" bestFit="1" customWidth="1"/>
    <col min="4" max="4" width="9" bestFit="1" customWidth="1"/>
  </cols>
  <sheetData>
    <row r="2" spans="2:7" x14ac:dyDescent="0.3">
      <c r="B2" t="s">
        <v>10</v>
      </c>
      <c r="C2" t="s">
        <v>11</v>
      </c>
      <c r="D2" t="s">
        <v>12</v>
      </c>
      <c r="F2" t="s">
        <v>22</v>
      </c>
      <c r="G2">
        <f>CORREL(B3:B12,D3:D12)</f>
        <v>0.74545454545454548</v>
      </c>
    </row>
    <row r="3" spans="2:7" x14ac:dyDescent="0.3">
      <c r="B3" s="1">
        <v>3</v>
      </c>
      <c r="C3" t="s">
        <v>13</v>
      </c>
      <c r="D3" s="1">
        <v>2</v>
      </c>
    </row>
    <row r="4" spans="2:7" x14ac:dyDescent="0.3">
      <c r="B4" s="1">
        <v>1</v>
      </c>
      <c r="C4" t="s">
        <v>14</v>
      </c>
      <c r="D4" s="1">
        <v>1</v>
      </c>
    </row>
    <row r="5" spans="2:7" x14ac:dyDescent="0.3">
      <c r="B5" s="1">
        <v>4</v>
      </c>
      <c r="C5" t="s">
        <v>15</v>
      </c>
      <c r="D5" s="1">
        <v>7</v>
      </c>
    </row>
    <row r="6" spans="2:7" x14ac:dyDescent="0.3">
      <c r="B6" s="1">
        <v>2</v>
      </c>
      <c r="C6" t="s">
        <v>16</v>
      </c>
      <c r="D6" s="1">
        <v>4</v>
      </c>
    </row>
    <row r="7" spans="2:7" x14ac:dyDescent="0.3">
      <c r="B7" s="1">
        <v>8</v>
      </c>
      <c r="C7" t="s">
        <v>17</v>
      </c>
      <c r="D7" s="1">
        <v>5</v>
      </c>
    </row>
    <row r="8" spans="2:7" x14ac:dyDescent="0.3">
      <c r="B8" s="1">
        <v>6</v>
      </c>
      <c r="C8" t="s">
        <v>18</v>
      </c>
      <c r="D8" s="1">
        <v>3</v>
      </c>
    </row>
    <row r="9" spans="2:7" x14ac:dyDescent="0.3">
      <c r="B9" s="1">
        <v>9</v>
      </c>
      <c r="C9" t="s">
        <v>19</v>
      </c>
      <c r="D9" s="1">
        <v>9</v>
      </c>
      <c r="F9" t="s">
        <v>23</v>
      </c>
      <c r="G9">
        <f>2.8284</f>
        <v>2.8283999999999998</v>
      </c>
    </row>
    <row r="10" spans="2:7" x14ac:dyDescent="0.3">
      <c r="B10" s="1">
        <v>5</v>
      </c>
      <c r="C10" t="s">
        <v>20</v>
      </c>
      <c r="D10" s="1">
        <v>8</v>
      </c>
      <c r="F10" t="s">
        <v>24</v>
      </c>
      <c r="G10">
        <v>1.86</v>
      </c>
    </row>
    <row r="11" spans="2:7" x14ac:dyDescent="0.3">
      <c r="B11" s="1">
        <v>10</v>
      </c>
      <c r="C11" t="s">
        <v>26</v>
      </c>
      <c r="D11" s="1">
        <v>10</v>
      </c>
    </row>
    <row r="12" spans="2:7" x14ac:dyDescent="0.3">
      <c r="B12" s="1">
        <v>7</v>
      </c>
      <c r="C12" t="s">
        <v>21</v>
      </c>
      <c r="D12" s="1">
        <v>6</v>
      </c>
      <c r="F12" t="s">
        <v>25</v>
      </c>
    </row>
    <row r="31" spans="2:2" x14ac:dyDescent="0.3">
      <c r="B31" t="s">
        <v>7</v>
      </c>
    </row>
    <row r="32" spans="2:2" x14ac:dyDescent="0.3">
      <c r="B32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5161-9AB7-40C1-8166-0ED335F48E1B}">
  <dimension ref="B2:L6"/>
  <sheetViews>
    <sheetView workbookViewId="0">
      <selection activeCell="B24" sqref="B24"/>
    </sheetView>
  </sheetViews>
  <sheetFormatPr defaultRowHeight="14.4" x14ac:dyDescent="0.3"/>
  <sheetData>
    <row r="2" spans="2:12" x14ac:dyDescent="0.3">
      <c r="B2" t="s">
        <v>27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2:12" x14ac:dyDescent="0.3">
      <c r="B3" t="s">
        <v>28</v>
      </c>
      <c r="C3">
        <v>32</v>
      </c>
      <c r="D3">
        <v>15</v>
      </c>
      <c r="E3">
        <v>16</v>
      </c>
      <c r="F3">
        <v>18</v>
      </c>
      <c r="G3">
        <v>20</v>
      </c>
      <c r="H3">
        <v>28</v>
      </c>
      <c r="I3">
        <v>21</v>
      </c>
      <c r="J3">
        <v>29</v>
      </c>
      <c r="K3">
        <v>23</v>
      </c>
      <c r="L3">
        <v>17</v>
      </c>
    </row>
    <row r="4" spans="2:12" x14ac:dyDescent="0.3">
      <c r="B4" t="s">
        <v>29</v>
      </c>
      <c r="C4">
        <v>12</v>
      </c>
      <c r="D4">
        <v>24</v>
      </c>
      <c r="E4">
        <v>23</v>
      </c>
      <c r="F4">
        <v>21</v>
      </c>
      <c r="G4">
        <v>20</v>
      </c>
      <c r="H4">
        <v>9</v>
      </c>
      <c r="I4">
        <v>11</v>
      </c>
      <c r="J4">
        <v>10</v>
      </c>
      <c r="K4">
        <v>15</v>
      </c>
      <c r="L4">
        <v>16</v>
      </c>
    </row>
    <row r="6" spans="2:12" x14ac:dyDescent="0.3">
      <c r="B6" t="s">
        <v>22</v>
      </c>
      <c r="C6">
        <f>CORREL(C3:L3,C4:L4)</f>
        <v>-0.82417899049988719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6A46-67C1-4B41-8137-6C799EA53948}">
  <dimension ref="B2:L8"/>
  <sheetViews>
    <sheetView zoomScale="53" workbookViewId="0">
      <selection activeCell="K10" sqref="K10"/>
    </sheetView>
  </sheetViews>
  <sheetFormatPr defaultRowHeight="14.4" x14ac:dyDescent="0.3"/>
  <sheetData>
    <row r="2" spans="2:12" x14ac:dyDescent="0.3">
      <c r="B2" t="s">
        <v>30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2:12" x14ac:dyDescent="0.3">
      <c r="B3" t="s">
        <v>31</v>
      </c>
      <c r="C3">
        <v>3</v>
      </c>
      <c r="D3">
        <v>10</v>
      </c>
      <c r="E3">
        <v>7</v>
      </c>
      <c r="F3">
        <v>2</v>
      </c>
      <c r="G3">
        <v>8</v>
      </c>
      <c r="H3">
        <v>5</v>
      </c>
      <c r="I3">
        <v>6</v>
      </c>
      <c r="J3">
        <v>9</v>
      </c>
      <c r="K3">
        <v>1</v>
      </c>
      <c r="L3">
        <v>4</v>
      </c>
    </row>
    <row r="4" spans="2:12" x14ac:dyDescent="0.3">
      <c r="B4" t="s">
        <v>32</v>
      </c>
      <c r="C4">
        <v>6</v>
      </c>
      <c r="D4">
        <v>2</v>
      </c>
      <c r="E4">
        <v>1</v>
      </c>
      <c r="F4">
        <v>3</v>
      </c>
      <c r="G4">
        <v>9</v>
      </c>
      <c r="H4">
        <v>4</v>
      </c>
      <c r="I4">
        <v>5</v>
      </c>
      <c r="J4">
        <v>7</v>
      </c>
      <c r="K4">
        <v>10</v>
      </c>
      <c r="L4">
        <v>8</v>
      </c>
    </row>
    <row r="6" spans="2:12" x14ac:dyDescent="0.3">
      <c r="B6" t="s">
        <v>33</v>
      </c>
      <c r="C6">
        <f>CORREL(C2:L2,C3:L3)</f>
        <v>-0.21212121212121213</v>
      </c>
    </row>
    <row r="7" spans="2:12" x14ac:dyDescent="0.3">
      <c r="B7" t="s">
        <v>34</v>
      </c>
      <c r="C7">
        <f>CORREL(C2:L2,C4:L4)</f>
        <v>0.63636363636363635</v>
      </c>
    </row>
    <row r="8" spans="2:12" x14ac:dyDescent="0.3">
      <c r="B8" t="s">
        <v>35</v>
      </c>
      <c r="C8">
        <f>CORREL(C3:L3,C4:L4)</f>
        <v>-0.29696969696969699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5DD3-28FA-4E00-AC77-DA23482F5515}">
  <dimension ref="B3:G17"/>
  <sheetViews>
    <sheetView topLeftCell="A2" workbookViewId="0">
      <selection activeCell="P6" sqref="P6"/>
    </sheetView>
  </sheetViews>
  <sheetFormatPr defaultRowHeight="14.4" x14ac:dyDescent="0.3"/>
  <sheetData>
    <row r="3" spans="2:7" x14ac:dyDescent="0.3">
      <c r="B3" t="s">
        <v>36</v>
      </c>
      <c r="C3" t="s">
        <v>37</v>
      </c>
      <c r="D3" t="s">
        <v>38</v>
      </c>
      <c r="F3" t="s">
        <v>22</v>
      </c>
      <c r="G3">
        <f>CORREL(C4:C17,D4:D17)</f>
        <v>-0.42109242545908371</v>
      </c>
    </row>
    <row r="4" spans="2:7" x14ac:dyDescent="0.3">
      <c r="B4">
        <v>1</v>
      </c>
      <c r="C4">
        <v>24</v>
      </c>
      <c r="D4">
        <v>100</v>
      </c>
    </row>
    <row r="5" spans="2:7" x14ac:dyDescent="0.3">
      <c r="B5">
        <v>2</v>
      </c>
      <c r="C5">
        <v>27</v>
      </c>
      <c r="D5">
        <v>115</v>
      </c>
    </row>
    <row r="6" spans="2:7" x14ac:dyDescent="0.3">
      <c r="B6">
        <v>3</v>
      </c>
      <c r="C6">
        <v>26</v>
      </c>
      <c r="D6">
        <v>117</v>
      </c>
    </row>
    <row r="7" spans="2:7" x14ac:dyDescent="0.3">
      <c r="B7">
        <v>4</v>
      </c>
      <c r="C7">
        <v>21</v>
      </c>
      <c r="D7">
        <v>119</v>
      </c>
    </row>
    <row r="8" spans="2:7" x14ac:dyDescent="0.3">
      <c r="B8">
        <v>5</v>
      </c>
      <c r="C8">
        <v>20</v>
      </c>
      <c r="D8">
        <v>134</v>
      </c>
    </row>
    <row r="9" spans="2:7" x14ac:dyDescent="0.3">
      <c r="B9">
        <v>6</v>
      </c>
      <c r="C9">
        <v>31</v>
      </c>
      <c r="D9">
        <v>94</v>
      </c>
    </row>
    <row r="10" spans="2:7" x14ac:dyDescent="0.3">
      <c r="B10">
        <v>7</v>
      </c>
      <c r="C10">
        <v>26</v>
      </c>
      <c r="D10">
        <v>105</v>
      </c>
    </row>
    <row r="11" spans="2:7" x14ac:dyDescent="0.3">
      <c r="B11">
        <v>8</v>
      </c>
      <c r="C11">
        <v>22</v>
      </c>
      <c r="D11">
        <v>103</v>
      </c>
    </row>
    <row r="12" spans="2:7" x14ac:dyDescent="0.3">
      <c r="B12">
        <v>9</v>
      </c>
      <c r="C12">
        <v>20</v>
      </c>
      <c r="D12">
        <v>111</v>
      </c>
    </row>
    <row r="13" spans="2:7" x14ac:dyDescent="0.3">
      <c r="B13">
        <v>10</v>
      </c>
      <c r="C13">
        <v>18</v>
      </c>
      <c r="D13">
        <v>124</v>
      </c>
    </row>
    <row r="14" spans="2:7" x14ac:dyDescent="0.3">
      <c r="B14">
        <v>11</v>
      </c>
      <c r="C14">
        <v>30</v>
      </c>
      <c r="D14">
        <v>122</v>
      </c>
    </row>
    <row r="15" spans="2:7" x14ac:dyDescent="0.3">
      <c r="B15">
        <v>12</v>
      </c>
      <c r="C15">
        <v>29</v>
      </c>
      <c r="D15">
        <v>109</v>
      </c>
    </row>
    <row r="16" spans="2:7" x14ac:dyDescent="0.3">
      <c r="B16">
        <v>13</v>
      </c>
      <c r="C16">
        <v>24</v>
      </c>
      <c r="D16">
        <v>110</v>
      </c>
    </row>
    <row r="17" spans="2:4" x14ac:dyDescent="0.3">
      <c r="B17">
        <v>14</v>
      </c>
      <c r="C17">
        <v>26</v>
      </c>
      <c r="D17">
        <v>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3258-05D9-491E-AAB2-318A2E65A787}">
  <dimension ref="B2:G11"/>
  <sheetViews>
    <sheetView tabSelected="1" workbookViewId="0">
      <selection activeCell="I4" sqref="I4"/>
    </sheetView>
  </sheetViews>
  <sheetFormatPr defaultRowHeight="14.4" x14ac:dyDescent="0.3"/>
  <cols>
    <col min="2" max="2" width="3.44140625" bestFit="1" customWidth="1"/>
    <col min="3" max="3" width="17.6640625" bestFit="1" customWidth="1"/>
    <col min="4" max="4" width="13.88671875" bestFit="1" customWidth="1"/>
  </cols>
  <sheetData>
    <row r="2" spans="2:7" x14ac:dyDescent="0.3">
      <c r="B2" t="s">
        <v>0</v>
      </c>
      <c r="C2" t="s">
        <v>39</v>
      </c>
      <c r="D2" t="s">
        <v>40</v>
      </c>
      <c r="F2" t="s">
        <v>22</v>
      </c>
      <c r="G2">
        <f>CORREL(C3:C11,D3:D11)</f>
        <v>-0.65511847916525001</v>
      </c>
    </row>
    <row r="3" spans="2:7" x14ac:dyDescent="0.3">
      <c r="B3">
        <v>1</v>
      </c>
      <c r="C3">
        <v>500</v>
      </c>
      <c r="D3">
        <v>5.4</v>
      </c>
    </row>
    <row r="4" spans="2:7" x14ac:dyDescent="0.3">
      <c r="B4">
        <v>2</v>
      </c>
      <c r="C4">
        <v>790</v>
      </c>
      <c r="D4">
        <v>4.2</v>
      </c>
    </row>
    <row r="5" spans="2:7" x14ac:dyDescent="0.3">
      <c r="B5">
        <v>3</v>
      </c>
      <c r="C5">
        <v>870</v>
      </c>
      <c r="D5">
        <v>4</v>
      </c>
    </row>
    <row r="6" spans="2:7" x14ac:dyDescent="0.3">
      <c r="B6">
        <v>4</v>
      </c>
      <c r="C6">
        <v>1500</v>
      </c>
      <c r="D6">
        <v>3.4</v>
      </c>
    </row>
    <row r="7" spans="2:7" x14ac:dyDescent="0.3">
      <c r="B7">
        <v>5</v>
      </c>
      <c r="C7">
        <v>2300</v>
      </c>
      <c r="D7">
        <v>2.5</v>
      </c>
    </row>
    <row r="8" spans="2:7" x14ac:dyDescent="0.3">
      <c r="B8">
        <v>6</v>
      </c>
      <c r="C8">
        <v>5600</v>
      </c>
      <c r="D8">
        <v>1</v>
      </c>
    </row>
    <row r="9" spans="2:7" x14ac:dyDescent="0.3">
      <c r="B9">
        <v>7</v>
      </c>
      <c r="C9">
        <v>100</v>
      </c>
      <c r="D9">
        <v>6.1</v>
      </c>
    </row>
    <row r="10" spans="2:7" x14ac:dyDescent="0.3">
      <c r="B10">
        <v>8</v>
      </c>
      <c r="C10">
        <v>20</v>
      </c>
      <c r="D10">
        <v>8.1999999999999993</v>
      </c>
    </row>
    <row r="11" spans="2:7" x14ac:dyDescent="0.3">
      <c r="B11">
        <v>9</v>
      </c>
      <c r="C11">
        <v>5</v>
      </c>
      <c r="D11">
        <v>14.6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Пример 1</vt:lpstr>
      <vt:lpstr>Пример 2</vt:lpstr>
      <vt:lpstr>Задача 3.1</vt:lpstr>
      <vt:lpstr>Задача 3.2</vt:lpstr>
      <vt:lpstr>Задача 4.1</vt:lpstr>
      <vt:lpstr>Задача 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2026-04-01T08:14:07Z</dcterms:created>
  <dcterms:modified xsi:type="dcterms:W3CDTF">2026-04-01T08:58:28Z</dcterms:modified>
</cp:coreProperties>
</file>