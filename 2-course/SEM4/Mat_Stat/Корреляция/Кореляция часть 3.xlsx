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Uni\Portfolio\2-course\SEM4\Mat_Stat\Новая папка\"/>
    </mc:Choice>
  </mc:AlternateContent>
  <xr:revisionPtr revIDLastSave="0" documentId="8_{349DB728-F204-4F3D-9A66-8A117F3F8208}" xr6:coauthVersionLast="47" xr6:coauthVersionMax="47" xr10:uidLastSave="{00000000-0000-0000-0000-000000000000}"/>
  <bookViews>
    <workbookView xWindow="-108" yWindow="-108" windowWidth="23256" windowHeight="13176" activeTab="1" xr2:uid="{F9D2262D-6022-4662-A06D-B8A75BCDD91F}"/>
  </bookViews>
  <sheets>
    <sheet name="Задача 1" sheetId="1" r:id="rId1"/>
    <sheet name="Задача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2" l="1"/>
  <c r="I4" i="2"/>
  <c r="J5" i="1"/>
  <c r="J3" i="1"/>
  <c r="J2" i="1"/>
  <c r="F4" i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  <c r="D13" i="1"/>
  <c r="C13" i="1"/>
</calcChain>
</file>

<file path=xl/sharedStrings.xml><?xml version="1.0" encoding="utf-8"?>
<sst xmlns="http://schemas.openxmlformats.org/spreadsheetml/2006/main" count="33" uniqueCount="23">
  <si>
    <t>№</t>
  </si>
  <si>
    <t>Средний балл</t>
  </si>
  <si>
    <t>Число часов</t>
  </si>
  <si>
    <t>Среднее</t>
  </si>
  <si>
    <t>Знаки отклонения</t>
  </si>
  <si>
    <t>Обозначение</t>
  </si>
  <si>
    <t>a</t>
  </si>
  <si>
    <t>b</t>
  </si>
  <si>
    <t>n_a</t>
  </si>
  <si>
    <t>n_b</t>
  </si>
  <si>
    <t>K_F</t>
  </si>
  <si>
    <t>Форма собственности</t>
  </si>
  <si>
    <t>Низкий</t>
  </si>
  <si>
    <t>Средний</t>
  </si>
  <si>
    <t>Высокий</t>
  </si>
  <si>
    <t>Итого</t>
  </si>
  <si>
    <t>Малое</t>
  </si>
  <si>
    <t>Крупное</t>
  </si>
  <si>
    <t>Уровень рентабельности</t>
  </si>
  <si>
    <t>Kп</t>
  </si>
  <si>
    <t>Kr</t>
  </si>
  <si>
    <t>φ^2</t>
  </si>
  <si>
    <t>Связи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</si>
</sst>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Border="1"/>
    <xf numFmtId="0" fontId="0" fillId="0" borderId="3" xfId="0" applyBorder="1"/>
    <xf numFmtId="2" fontId="0" fillId="0" borderId="4" xfId="0" applyNumberFormat="1" applyBorder="1"/>
    <xf numFmtId="2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2" fontId="0" fillId="0" borderId="6" xfId="0" applyNumberFormat="1" applyBorder="1"/>
    <xf numFmtId="2" fontId="0" fillId="0" borderId="7" xfId="0" applyNumberFormat="1" applyBorder="1"/>
    <xf numFmtId="0" fontId="0" fillId="0" borderId="1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5" xfId="0" applyNumberFormat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3208-D662-46D5-A41F-2C7201399DC2}">
  <dimension ref="B2:J13"/>
  <sheetViews>
    <sheetView workbookViewId="0">
      <selection activeCell="H20" sqref="H20"/>
    </sheetView>
  </sheetViews>
  <sheetFormatPr defaultRowHeight="14.4" x14ac:dyDescent="0.3"/>
  <cols>
    <col min="1" max="1" width="8.88671875" style="1"/>
    <col min="2" max="2" width="8.33203125" style="1" bestFit="1" customWidth="1"/>
    <col min="3" max="3" width="13.21875" style="1" bestFit="1" customWidth="1"/>
    <col min="4" max="4" width="11.5546875" style="1" bestFit="1" customWidth="1"/>
    <col min="5" max="6" width="8.88671875" style="1"/>
    <col min="7" max="7" width="12.21875" style="1" customWidth="1"/>
    <col min="8" max="16384" width="8.88671875" style="1"/>
  </cols>
  <sheetData>
    <row r="2" spans="2:10" x14ac:dyDescent="0.3">
      <c r="B2" s="1" t="s">
        <v>0</v>
      </c>
      <c r="C2" s="1" t="s">
        <v>1</v>
      </c>
      <c r="D2" s="1" t="s">
        <v>2</v>
      </c>
      <c r="E2" s="2" t="s">
        <v>4</v>
      </c>
      <c r="F2" s="2"/>
      <c r="G2" s="1" t="s">
        <v>5</v>
      </c>
      <c r="I2" s="1" t="s">
        <v>8</v>
      </c>
      <c r="J2" s="1">
        <f>COUNTIF(G3:G12,"a")</f>
        <v>8</v>
      </c>
    </row>
    <row r="3" spans="2:10" x14ac:dyDescent="0.3">
      <c r="B3" s="1">
        <v>1</v>
      </c>
      <c r="C3" s="3">
        <v>4.5999999999999996</v>
      </c>
      <c r="D3" s="3">
        <v>25</v>
      </c>
      <c r="E3" s="1" t="str">
        <f>IF(C3&gt;$C$13,"+","-")</f>
        <v>+</v>
      </c>
      <c r="F3" s="1" t="str">
        <f>IF(D3&gt;$D$13,"+","-")</f>
        <v>+</v>
      </c>
      <c r="G3" s="1" t="s">
        <v>6</v>
      </c>
      <c r="I3" s="1" t="s">
        <v>9</v>
      </c>
      <c r="J3" s="1">
        <f>COUNTIF(G3:G12,"b")</f>
        <v>2</v>
      </c>
    </row>
    <row r="4" spans="2:10" x14ac:dyDescent="0.3">
      <c r="B4" s="1">
        <v>2</v>
      </c>
      <c r="C4" s="3">
        <v>4.3</v>
      </c>
      <c r="D4" s="3">
        <v>22</v>
      </c>
      <c r="E4" s="1" t="str">
        <f t="shared" ref="E4:E12" si="0">IF(C4&gt;$C$13,"+","-")</f>
        <v>+</v>
      </c>
      <c r="F4" s="1" t="str">
        <f t="shared" ref="F4:F12" si="1">IF(D4&gt;$D$13,"+","-")</f>
        <v>+</v>
      </c>
      <c r="G4" s="1" t="s">
        <v>6</v>
      </c>
    </row>
    <row r="5" spans="2:10" x14ac:dyDescent="0.3">
      <c r="B5" s="1">
        <v>3</v>
      </c>
      <c r="C5" s="3">
        <v>3.8</v>
      </c>
      <c r="D5" s="3">
        <v>9</v>
      </c>
      <c r="E5" s="1" t="str">
        <f t="shared" si="0"/>
        <v>-</v>
      </c>
      <c r="F5" s="1" t="str">
        <f t="shared" si="1"/>
        <v>-</v>
      </c>
      <c r="G5" s="1" t="s">
        <v>6</v>
      </c>
      <c r="I5" s="1" t="s">
        <v>10</v>
      </c>
      <c r="J5" s="1">
        <f>(J2-J3)/10</f>
        <v>0.6</v>
      </c>
    </row>
    <row r="6" spans="2:10" x14ac:dyDescent="0.3">
      <c r="B6" s="1">
        <v>4</v>
      </c>
      <c r="C6" s="3">
        <v>3.8</v>
      </c>
      <c r="D6" s="3">
        <v>15</v>
      </c>
      <c r="E6" s="1" t="str">
        <f t="shared" si="0"/>
        <v>-</v>
      </c>
      <c r="F6" s="1" t="str">
        <f t="shared" si="1"/>
        <v>-</v>
      </c>
      <c r="G6" s="1" t="s">
        <v>6</v>
      </c>
    </row>
    <row r="7" spans="2:10" x14ac:dyDescent="0.3">
      <c r="B7" s="1">
        <v>5</v>
      </c>
      <c r="C7" s="3">
        <v>4.2</v>
      </c>
      <c r="D7" s="3">
        <v>15</v>
      </c>
      <c r="E7" s="1" t="str">
        <f t="shared" si="0"/>
        <v>+</v>
      </c>
      <c r="F7" s="1" t="str">
        <f t="shared" si="1"/>
        <v>-</v>
      </c>
      <c r="G7" s="1" t="s">
        <v>7</v>
      </c>
    </row>
    <row r="8" spans="2:10" x14ac:dyDescent="0.3">
      <c r="B8" s="1">
        <v>6</v>
      </c>
      <c r="C8" s="3">
        <v>4.3</v>
      </c>
      <c r="D8" s="3">
        <v>30</v>
      </c>
      <c r="E8" s="1" t="str">
        <f t="shared" si="0"/>
        <v>+</v>
      </c>
      <c r="F8" s="1" t="str">
        <f t="shared" si="1"/>
        <v>+</v>
      </c>
      <c r="G8" s="1" t="s">
        <v>6</v>
      </c>
    </row>
    <row r="9" spans="2:10" x14ac:dyDescent="0.3">
      <c r="B9" s="1">
        <v>7</v>
      </c>
      <c r="C9" s="3">
        <v>3.8</v>
      </c>
      <c r="D9" s="3">
        <v>20</v>
      </c>
      <c r="E9" s="1" t="str">
        <f t="shared" si="0"/>
        <v>-</v>
      </c>
      <c r="F9" s="1" t="str">
        <f t="shared" si="1"/>
        <v>+</v>
      </c>
      <c r="G9" s="1" t="s">
        <v>7</v>
      </c>
    </row>
    <row r="10" spans="2:10" x14ac:dyDescent="0.3">
      <c r="B10" s="1">
        <v>8</v>
      </c>
      <c r="C10" s="3">
        <v>4</v>
      </c>
      <c r="D10" s="3">
        <v>30</v>
      </c>
      <c r="E10" s="1" t="str">
        <f t="shared" si="0"/>
        <v>+</v>
      </c>
      <c r="F10" s="1" t="str">
        <f t="shared" si="1"/>
        <v>+</v>
      </c>
      <c r="G10" s="1" t="s">
        <v>6</v>
      </c>
    </row>
    <row r="11" spans="2:10" x14ac:dyDescent="0.3">
      <c r="B11" s="1">
        <v>9</v>
      </c>
      <c r="C11" s="3">
        <v>3.1</v>
      </c>
      <c r="D11" s="3">
        <v>10</v>
      </c>
      <c r="E11" s="1" t="str">
        <f t="shared" si="0"/>
        <v>-</v>
      </c>
      <c r="F11" s="1" t="str">
        <f t="shared" si="1"/>
        <v>-</v>
      </c>
      <c r="G11" s="1" t="s">
        <v>6</v>
      </c>
    </row>
    <row r="12" spans="2:10" x14ac:dyDescent="0.3">
      <c r="B12" s="1">
        <v>10</v>
      </c>
      <c r="C12" s="3">
        <v>3.9</v>
      </c>
      <c r="D12" s="3">
        <v>17</v>
      </c>
      <c r="E12" s="1" t="str">
        <f t="shared" si="0"/>
        <v>-</v>
      </c>
      <c r="F12" s="1" t="str">
        <f t="shared" si="1"/>
        <v>-</v>
      </c>
      <c r="G12" s="1" t="s">
        <v>6</v>
      </c>
    </row>
    <row r="13" spans="2:10" x14ac:dyDescent="0.3">
      <c r="B13" s="1" t="s">
        <v>3</v>
      </c>
      <c r="C13" s="3">
        <f>AVERAGE(C3:C12)</f>
        <v>3.9799999999999995</v>
      </c>
      <c r="D13" s="3">
        <f>AVERAGE(D3:D12)</f>
        <v>19.3</v>
      </c>
    </row>
  </sheetData>
  <mergeCells count="1"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7507-5796-4AA7-A697-ED89B9590574}">
  <dimension ref="B1:I7"/>
  <sheetViews>
    <sheetView tabSelected="1" workbookViewId="0">
      <selection activeCell="H20" sqref="H20"/>
    </sheetView>
  </sheetViews>
  <sheetFormatPr defaultRowHeight="14.4" x14ac:dyDescent="0.3"/>
  <cols>
    <col min="2" max="2" width="20.44140625" bestFit="1" customWidth="1"/>
    <col min="3" max="3" width="7.33203125" bestFit="1" customWidth="1"/>
    <col min="4" max="5" width="8.5546875" bestFit="1" customWidth="1"/>
    <col min="6" max="6" width="6.44140625" bestFit="1" customWidth="1"/>
  </cols>
  <sheetData>
    <row r="1" spans="2:9" ht="15" thickBot="1" x14ac:dyDescent="0.35"/>
    <row r="2" spans="2:9" ht="15" thickBot="1" x14ac:dyDescent="0.35">
      <c r="B2" s="14"/>
      <c r="C2" s="15" t="s">
        <v>18</v>
      </c>
      <c r="D2" s="16"/>
      <c r="E2" s="17"/>
      <c r="F2" s="14"/>
      <c r="H2" s="19" t="s">
        <v>21</v>
      </c>
      <c r="I2">
        <v>5.5999999999999999E-3</v>
      </c>
    </row>
    <row r="3" spans="2:9" ht="15" thickBot="1" x14ac:dyDescent="0.35">
      <c r="B3" s="9" t="s">
        <v>11</v>
      </c>
      <c r="C3" s="5" t="s">
        <v>12</v>
      </c>
      <c r="D3" s="11" t="s">
        <v>13</v>
      </c>
      <c r="E3" s="11" t="s">
        <v>14</v>
      </c>
      <c r="F3" s="9" t="s">
        <v>15</v>
      </c>
    </row>
    <row r="4" spans="2:9" x14ac:dyDescent="0.3">
      <c r="B4" s="8" t="s">
        <v>16</v>
      </c>
      <c r="C4" s="7">
        <v>15</v>
      </c>
      <c r="D4" s="7">
        <v>20</v>
      </c>
      <c r="E4" s="7">
        <v>24</v>
      </c>
      <c r="F4" s="18">
        <v>59</v>
      </c>
      <c r="H4" t="s">
        <v>19</v>
      </c>
      <c r="I4">
        <f>SQRT((I2)/(1+I2))</f>
        <v>7.4624490872816335E-2</v>
      </c>
    </row>
    <row r="5" spans="2:9" x14ac:dyDescent="0.3">
      <c r="B5" s="9" t="s">
        <v>3</v>
      </c>
      <c r="C5" s="4">
        <v>18</v>
      </c>
      <c r="D5" s="4">
        <v>24</v>
      </c>
      <c r="E5" s="4">
        <v>32</v>
      </c>
      <c r="F5" s="12">
        <v>74</v>
      </c>
      <c r="H5" t="s">
        <v>20</v>
      </c>
      <c r="I5">
        <f>SQRT((I2)/(SQRT((3-1)*(3-1))))</f>
        <v>5.2915026221291808E-2</v>
      </c>
    </row>
    <row r="6" spans="2:9" ht="15" thickBot="1" x14ac:dyDescent="0.35">
      <c r="B6" s="10" t="s">
        <v>17</v>
      </c>
      <c r="C6" s="6">
        <v>38</v>
      </c>
      <c r="D6" s="6">
        <v>41</v>
      </c>
      <c r="E6" s="6">
        <v>45</v>
      </c>
      <c r="F6" s="13">
        <v>124</v>
      </c>
    </row>
    <row r="7" spans="2:9" ht="15" thickBot="1" x14ac:dyDescent="0.35">
      <c r="B7" s="14" t="s">
        <v>15</v>
      </c>
      <c r="C7" s="6">
        <v>71</v>
      </c>
      <c r="D7" s="6">
        <v>85</v>
      </c>
      <c r="E7" s="6">
        <v>101</v>
      </c>
      <c r="F7" s="13">
        <v>257</v>
      </c>
      <c r="H7" t="s">
        <v>22</v>
      </c>
    </row>
  </sheetData>
  <mergeCells count="1">
    <mergeCell ref="C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Задача 1</vt:lpstr>
      <vt:lpstr>Задача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Froliv</dc:creator>
  <cp:lastModifiedBy>Andrew Froliv</cp:lastModifiedBy>
  <dcterms:created xsi:type="dcterms:W3CDTF">2026-04-15T07:24:09Z</dcterms:created>
  <dcterms:modified xsi:type="dcterms:W3CDTF">2026-04-15T08:06:08Z</dcterms:modified>
</cp:coreProperties>
</file>