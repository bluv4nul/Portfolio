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Uni\Portfolio\2-course\SEM4\Mat_Stat\Новая папка\"/>
    </mc:Choice>
  </mc:AlternateContent>
  <xr:revisionPtr revIDLastSave="0" documentId="13_ncr:1_{91CB20C9-2D26-4F83-AC48-EDD9E5752B87}" xr6:coauthVersionLast="47" xr6:coauthVersionMax="47" xr10:uidLastSave="{00000000-0000-0000-0000-000000000000}"/>
  <bookViews>
    <workbookView xWindow="-108" yWindow="-108" windowWidth="23256" windowHeight="13176" activeTab="1" xr2:uid="{3449BE0E-952B-454E-9BAB-62746CA22BE5}"/>
  </bookViews>
  <sheets>
    <sheet name="Задача 1" sheetId="1" r:id="rId1"/>
    <sheet name="Задача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2" l="1"/>
  <c r="J5" i="2"/>
  <c r="G24" i="1"/>
  <c r="J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3" i="2"/>
  <c r="G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</calcChain>
</file>

<file path=xl/sharedStrings.xml><?xml version="1.0" encoding="utf-8"?>
<sst xmlns="http://schemas.openxmlformats.org/spreadsheetml/2006/main" count="61" uniqueCount="57">
  <si>
    <t>№</t>
  </si>
  <si>
    <t>Вид страха</t>
  </si>
  <si>
    <t>Ранг в американской выборке</t>
  </si>
  <si>
    <t>Ранг в российской выборке</t>
  </si>
  <si>
    <t>d</t>
  </si>
  <si>
    <t>d^2</t>
  </si>
  <si>
    <t>Страх глубины</t>
  </si>
  <si>
    <t>Страх смерти</t>
  </si>
  <si>
    <t>Страх совершить ошибку</t>
  </si>
  <si>
    <t>Страх неудачи</t>
  </si>
  <si>
    <t>Страх неодобрения</t>
  </si>
  <si>
    <t>Страх отвержения</t>
  </si>
  <si>
    <t>Страх быть любимым</t>
  </si>
  <si>
    <t>Страх одиночества</t>
  </si>
  <si>
    <t>Страх крови</t>
  </si>
  <si>
    <t>Страх открытых ран</t>
  </si>
  <si>
    <t>Страх дантиста</t>
  </si>
  <si>
    <t>Страх уколов</t>
  </si>
  <si>
    <t>Страх прохождения тестов</t>
  </si>
  <si>
    <t>Страх полиции</t>
  </si>
  <si>
    <t>Страх высоты</t>
  </si>
  <si>
    <t>Страх собак</t>
  </si>
  <si>
    <t>Страх пауков</t>
  </si>
  <si>
    <t>Страх незнакомых людей</t>
  </si>
  <si>
    <t>Страх болезни</t>
  </si>
  <si>
    <t>Страх темноты</t>
  </si>
  <si>
    <t>r формулой</t>
  </si>
  <si>
    <t>r функцией</t>
  </si>
  <si>
    <t>Критические значения при 0,05 и 0,01</t>
  </si>
  <si>
    <t>Делаем вывод - связь незначима =&gt; принимаем гипотезу H0</t>
  </si>
  <si>
    <t>Наименования качества</t>
  </si>
  <si>
    <t>Ряд 1: ранг качества в эталонном профиле</t>
  </si>
  <si>
    <t>Ряд 2: ранг качества в индивидуальном профиле</t>
  </si>
  <si>
    <t>Ответственность</t>
  </si>
  <si>
    <t>Порядочность</t>
  </si>
  <si>
    <t>Умение общаться с людьми</t>
  </si>
  <si>
    <t>Выдержка, самообладание</t>
  </si>
  <si>
    <t>Общий уровень культуры</t>
  </si>
  <si>
    <t>Энергия, активность</t>
  </si>
  <si>
    <t>Логика</t>
  </si>
  <si>
    <t>Самокритичность</t>
  </si>
  <si>
    <t>Самостоятельность</t>
  </si>
  <si>
    <t>Личностная зрелость</t>
  </si>
  <si>
    <t>Целеустремленность</t>
  </si>
  <si>
    <t>Обучаемость</t>
  </si>
  <si>
    <t>Гуманизм</t>
  </si>
  <si>
    <t>Терпимость к чужому мнению</t>
  </si>
  <si>
    <t>Стойкость</t>
  </si>
  <si>
    <t>Гибкость поведения</t>
  </si>
  <si>
    <t>Способность производить благоприятное впечатление</t>
  </si>
  <si>
    <t>Способность к творчеству нового</t>
  </si>
  <si>
    <t>Ta</t>
  </si>
  <si>
    <t>Tb</t>
  </si>
  <si>
    <t xml:space="preserve">r формулой </t>
  </si>
  <si>
    <t>Критические значения</t>
  </si>
  <si>
    <t>При уровне значимости 0,05 r эмп &gt; r =&gt; корреляция является значимой, следовательно гипотеза H0 отвергается</t>
  </si>
  <si>
    <t>Но при уровне значимости 0,01 нет оснований отвергунть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</si>
</sst>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'Задача 1'!$D$3:$D$22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</c:numCache>
            </c:numRef>
          </c:xVal>
          <c:yVal>
            <c:numRef>
              <c:f>'Задача 1'!$E$3:$E$22</c:f>
              <c:numCache>
                <c:formatCode>General</c:formatCode>
                <c:ptCount val="20"/>
                <c:pt idx="0">
                  <c:v>7</c:v>
                </c:pt>
                <c:pt idx="1">
                  <c:v>12</c:v>
                </c:pt>
                <c:pt idx="2">
                  <c:v>10</c:v>
                </c:pt>
                <c:pt idx="3">
                  <c:v>6</c:v>
                </c:pt>
                <c:pt idx="4">
                  <c:v>9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  <c:pt idx="8">
                  <c:v>16</c:v>
                </c:pt>
                <c:pt idx="9">
                  <c:v>13</c:v>
                </c:pt>
                <c:pt idx="10">
                  <c:v>3</c:v>
                </c:pt>
                <c:pt idx="11">
                  <c:v>19</c:v>
                </c:pt>
                <c:pt idx="12">
                  <c:v>20</c:v>
                </c:pt>
                <c:pt idx="13">
                  <c:v>17</c:v>
                </c:pt>
                <c:pt idx="14">
                  <c:v>4</c:v>
                </c:pt>
                <c:pt idx="15">
                  <c:v>11</c:v>
                </c:pt>
                <c:pt idx="16">
                  <c:v>18</c:v>
                </c:pt>
                <c:pt idx="17">
                  <c:v>8</c:v>
                </c:pt>
                <c:pt idx="18">
                  <c:v>15</c:v>
                </c:pt>
                <c:pt idx="1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4-404F-AC8B-035783DB0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210255"/>
        <c:axId val="1333211503"/>
      </c:scatterChart>
      <c:valAx>
        <c:axId val="133321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3211503"/>
        <c:crosses val="autoZero"/>
        <c:crossBetween val="midCat"/>
      </c:valAx>
      <c:valAx>
        <c:axId val="13332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321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'Задача 2'!$D$3:$D$20</c:f>
              <c:numCache>
                <c:formatCode>0.00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12.5</c:v>
                </c:pt>
                <c:pt idx="12">
                  <c:v>12.5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'Задача 2'!$E$3:$E$20</c:f>
              <c:numCache>
                <c:formatCode>0.00</c:formatCode>
                <c:ptCount val="18"/>
                <c:pt idx="0">
                  <c:v>2</c:v>
                </c:pt>
                <c:pt idx="1">
                  <c:v>8.5</c:v>
                </c:pt>
                <c:pt idx="2">
                  <c:v>13.5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  <c:pt idx="6">
                  <c:v>8.5</c:v>
                </c:pt>
                <c:pt idx="7">
                  <c:v>6</c:v>
                </c:pt>
                <c:pt idx="8">
                  <c:v>7</c:v>
                </c:pt>
                <c:pt idx="9">
                  <c:v>10</c:v>
                </c:pt>
                <c:pt idx="10">
                  <c:v>1</c:v>
                </c:pt>
                <c:pt idx="11">
                  <c:v>15</c:v>
                </c:pt>
                <c:pt idx="12">
                  <c:v>11</c:v>
                </c:pt>
                <c:pt idx="13">
                  <c:v>16</c:v>
                </c:pt>
                <c:pt idx="14">
                  <c:v>4</c:v>
                </c:pt>
                <c:pt idx="15">
                  <c:v>18</c:v>
                </c:pt>
                <c:pt idx="16">
                  <c:v>13.5</c:v>
                </c:pt>
                <c:pt idx="1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9-4EBE-BC04-2EB4A36A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275391"/>
        <c:axId val="1445898479"/>
      </c:scatterChart>
      <c:valAx>
        <c:axId val="134127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5898479"/>
        <c:crosses val="autoZero"/>
        <c:crossBetween val="midCat"/>
      </c:valAx>
      <c:valAx>
        <c:axId val="144589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127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22860</xdr:rowOff>
    </xdr:from>
    <xdr:to>
      <xdr:col>4</xdr:col>
      <xdr:colOff>1021080</xdr:colOff>
      <xdr:row>38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E86DE4-560F-4840-A943-3D7F2146D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22860</xdr:colOff>
      <xdr:row>25</xdr:row>
      <xdr:rowOff>38100</xdr:rowOff>
    </xdr:from>
    <xdr:to>
      <xdr:col>7</xdr:col>
      <xdr:colOff>367932</xdr:colOff>
      <xdr:row>29</xdr:row>
      <xdr:rowOff>144897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547DED-8E2C-4B9F-9EE1-F515238BD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3620" y="4610100"/>
          <a:ext cx="1914792" cy="838317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32</xdr:row>
      <xdr:rowOff>30480</xdr:rowOff>
    </xdr:from>
    <xdr:to>
      <xdr:col>8</xdr:col>
      <xdr:colOff>362304</xdr:colOff>
      <xdr:row>33</xdr:row>
      <xdr:rowOff>152443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0D1A237-DF74-497F-B4A3-D8F2F58FE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8380" y="5882640"/>
          <a:ext cx="2534004" cy="304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9644</xdr:colOff>
      <xdr:row>20</xdr:row>
      <xdr:rowOff>181337</xdr:rowOff>
    </xdr:from>
    <xdr:to>
      <xdr:col>4</xdr:col>
      <xdr:colOff>3134809</xdr:colOff>
      <xdr:row>37</xdr:row>
      <xdr:rowOff>9646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390298-A464-4D12-A63B-DB7F94CC3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48228</xdr:colOff>
      <xdr:row>8</xdr:row>
      <xdr:rowOff>67518</xdr:rowOff>
    </xdr:from>
    <xdr:to>
      <xdr:col>11</xdr:col>
      <xdr:colOff>386381</xdr:colOff>
      <xdr:row>9</xdr:row>
      <xdr:rowOff>112885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62AE821-7841-42D1-944D-32F7894FE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7950" y="1533645"/>
          <a:ext cx="2267266" cy="228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515B-A845-4047-8EBC-FA4B76E6D004}">
  <dimension ref="B2:G36"/>
  <sheetViews>
    <sheetView topLeftCell="A15" workbookViewId="0">
      <selection activeCell="G23" sqref="G23"/>
    </sheetView>
  </sheetViews>
  <sheetFormatPr defaultRowHeight="14.4" x14ac:dyDescent="0.3"/>
  <cols>
    <col min="2" max="2" width="3" bestFit="1" customWidth="1"/>
    <col min="3" max="3" width="24.33203125" bestFit="1" customWidth="1"/>
    <col min="4" max="4" width="27.44140625" bestFit="1" customWidth="1"/>
    <col min="5" max="5" width="25" bestFit="1" customWidth="1"/>
    <col min="6" max="6" width="10.88671875" bestFit="1" customWidth="1"/>
    <col min="7" max="7" width="12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>
        <v>1</v>
      </c>
      <c r="C3" s="1" t="s">
        <v>6</v>
      </c>
      <c r="D3" s="1">
        <v>1</v>
      </c>
      <c r="E3" s="1">
        <v>7</v>
      </c>
      <c r="F3" s="1">
        <f>D3-E3</f>
        <v>-6</v>
      </c>
      <c r="G3" s="1">
        <f>F3^2</f>
        <v>36</v>
      </c>
    </row>
    <row r="4" spans="2:7" x14ac:dyDescent="0.3">
      <c r="B4" s="1">
        <v>2</v>
      </c>
      <c r="C4" s="1" t="s">
        <v>7</v>
      </c>
      <c r="D4" s="1">
        <v>2</v>
      </c>
      <c r="E4" s="1">
        <v>12</v>
      </c>
      <c r="F4" s="1">
        <f t="shared" ref="F4:F22" si="0">D4-E4</f>
        <v>-10</v>
      </c>
      <c r="G4" s="1">
        <f t="shared" ref="G4:G22" si="1">F4^2</f>
        <v>100</v>
      </c>
    </row>
    <row r="5" spans="2:7" x14ac:dyDescent="0.3">
      <c r="B5" s="1">
        <v>3</v>
      </c>
      <c r="C5" s="1" t="s">
        <v>8</v>
      </c>
      <c r="D5" s="1">
        <v>3</v>
      </c>
      <c r="E5" s="1">
        <v>10</v>
      </c>
      <c r="F5" s="1">
        <f t="shared" si="0"/>
        <v>-7</v>
      </c>
      <c r="G5" s="1">
        <f t="shared" si="1"/>
        <v>49</v>
      </c>
    </row>
    <row r="6" spans="2:7" x14ac:dyDescent="0.3">
      <c r="B6" s="1">
        <v>4</v>
      </c>
      <c r="C6" s="1" t="s">
        <v>9</v>
      </c>
      <c r="D6" s="1">
        <v>4</v>
      </c>
      <c r="E6" s="1">
        <v>6</v>
      </c>
      <c r="F6" s="1">
        <f t="shared" si="0"/>
        <v>-2</v>
      </c>
      <c r="G6" s="1">
        <f t="shared" si="1"/>
        <v>4</v>
      </c>
    </row>
    <row r="7" spans="2:7" x14ac:dyDescent="0.3">
      <c r="B7" s="1">
        <v>5</v>
      </c>
      <c r="C7" s="1" t="s">
        <v>10</v>
      </c>
      <c r="D7" s="1">
        <v>5</v>
      </c>
      <c r="E7" s="1">
        <v>9</v>
      </c>
      <c r="F7" s="1">
        <f t="shared" si="0"/>
        <v>-4</v>
      </c>
      <c r="G7" s="1">
        <f t="shared" si="1"/>
        <v>16</v>
      </c>
    </row>
    <row r="8" spans="2:7" x14ac:dyDescent="0.3">
      <c r="B8" s="1">
        <v>6</v>
      </c>
      <c r="C8" s="1" t="s">
        <v>11</v>
      </c>
      <c r="D8" s="1">
        <v>6</v>
      </c>
      <c r="E8" s="1">
        <v>2</v>
      </c>
      <c r="F8" s="1">
        <f t="shared" si="0"/>
        <v>4</v>
      </c>
      <c r="G8" s="1">
        <f t="shared" si="1"/>
        <v>16</v>
      </c>
    </row>
    <row r="9" spans="2:7" x14ac:dyDescent="0.3">
      <c r="B9" s="1">
        <v>7</v>
      </c>
      <c r="C9" s="1" t="s">
        <v>12</v>
      </c>
      <c r="D9" s="1">
        <v>7</v>
      </c>
      <c r="E9" s="1">
        <v>5</v>
      </c>
      <c r="F9" s="1">
        <f t="shared" si="0"/>
        <v>2</v>
      </c>
      <c r="G9" s="1">
        <f t="shared" si="1"/>
        <v>4</v>
      </c>
    </row>
    <row r="10" spans="2:7" x14ac:dyDescent="0.3">
      <c r="B10" s="1">
        <v>8</v>
      </c>
      <c r="C10" s="1" t="s">
        <v>13</v>
      </c>
      <c r="D10" s="1">
        <v>8</v>
      </c>
      <c r="E10" s="1">
        <v>1</v>
      </c>
      <c r="F10" s="1">
        <f t="shared" si="0"/>
        <v>7</v>
      </c>
      <c r="G10" s="1">
        <f t="shared" si="1"/>
        <v>49</v>
      </c>
    </row>
    <row r="11" spans="2:7" x14ac:dyDescent="0.3">
      <c r="B11" s="1">
        <v>9</v>
      </c>
      <c r="C11" s="1" t="s">
        <v>14</v>
      </c>
      <c r="D11" s="1">
        <v>9</v>
      </c>
      <c r="E11" s="1">
        <v>16</v>
      </c>
      <c r="F11" s="1">
        <f t="shared" si="0"/>
        <v>-7</v>
      </c>
      <c r="G11" s="1">
        <f t="shared" si="1"/>
        <v>49</v>
      </c>
    </row>
    <row r="12" spans="2:7" x14ac:dyDescent="0.3">
      <c r="B12" s="1">
        <v>10</v>
      </c>
      <c r="C12" s="1" t="s">
        <v>15</v>
      </c>
      <c r="D12" s="1">
        <v>10</v>
      </c>
      <c r="E12" s="1">
        <v>13</v>
      </c>
      <c r="F12" s="1">
        <f t="shared" si="0"/>
        <v>-3</v>
      </c>
      <c r="G12" s="1">
        <f t="shared" si="1"/>
        <v>9</v>
      </c>
    </row>
    <row r="13" spans="2:7" x14ac:dyDescent="0.3">
      <c r="B13" s="1">
        <v>11</v>
      </c>
      <c r="C13" s="1" t="s">
        <v>16</v>
      </c>
      <c r="D13" s="1">
        <v>11</v>
      </c>
      <c r="E13" s="1">
        <v>3</v>
      </c>
      <c r="F13" s="1">
        <f t="shared" si="0"/>
        <v>8</v>
      </c>
      <c r="G13" s="1">
        <f t="shared" si="1"/>
        <v>64</v>
      </c>
    </row>
    <row r="14" spans="2:7" x14ac:dyDescent="0.3">
      <c r="B14" s="1">
        <v>12</v>
      </c>
      <c r="C14" s="1" t="s">
        <v>17</v>
      </c>
      <c r="D14" s="1">
        <v>12</v>
      </c>
      <c r="E14" s="1">
        <v>19</v>
      </c>
      <c r="F14" s="1">
        <f t="shared" si="0"/>
        <v>-7</v>
      </c>
      <c r="G14" s="1">
        <f t="shared" si="1"/>
        <v>49</v>
      </c>
    </row>
    <row r="15" spans="2:7" x14ac:dyDescent="0.3">
      <c r="B15" s="1">
        <v>13</v>
      </c>
      <c r="C15" s="1" t="s">
        <v>18</v>
      </c>
      <c r="D15" s="1">
        <v>13</v>
      </c>
      <c r="E15" s="1">
        <v>20</v>
      </c>
      <c r="F15" s="1">
        <f t="shared" si="0"/>
        <v>-7</v>
      </c>
      <c r="G15" s="1">
        <f t="shared" si="1"/>
        <v>49</v>
      </c>
    </row>
    <row r="16" spans="2:7" x14ac:dyDescent="0.3">
      <c r="B16" s="1">
        <v>14</v>
      </c>
      <c r="C16" s="1" t="s">
        <v>19</v>
      </c>
      <c r="D16" s="1">
        <v>14</v>
      </c>
      <c r="E16" s="1">
        <v>17</v>
      </c>
      <c r="F16" s="1">
        <f t="shared" si="0"/>
        <v>-3</v>
      </c>
      <c r="G16" s="1">
        <f t="shared" si="1"/>
        <v>9</v>
      </c>
    </row>
    <row r="17" spans="2:7" x14ac:dyDescent="0.3">
      <c r="B17" s="1">
        <v>15</v>
      </c>
      <c r="C17" s="1" t="s">
        <v>20</v>
      </c>
      <c r="D17" s="1">
        <v>15</v>
      </c>
      <c r="E17" s="1">
        <v>4</v>
      </c>
      <c r="F17" s="1">
        <f t="shared" si="0"/>
        <v>11</v>
      </c>
      <c r="G17" s="1">
        <f t="shared" si="1"/>
        <v>121</v>
      </c>
    </row>
    <row r="18" spans="2:7" x14ac:dyDescent="0.3">
      <c r="B18" s="1">
        <v>16</v>
      </c>
      <c r="C18" s="1" t="s">
        <v>21</v>
      </c>
      <c r="D18" s="1">
        <v>16</v>
      </c>
      <c r="E18" s="1">
        <v>11</v>
      </c>
      <c r="F18" s="1">
        <f t="shared" si="0"/>
        <v>5</v>
      </c>
      <c r="G18" s="1">
        <f t="shared" si="1"/>
        <v>25</v>
      </c>
    </row>
    <row r="19" spans="2:7" x14ac:dyDescent="0.3">
      <c r="B19" s="1">
        <v>17</v>
      </c>
      <c r="C19" s="1" t="s">
        <v>22</v>
      </c>
      <c r="D19" s="1">
        <v>17</v>
      </c>
      <c r="E19" s="1">
        <v>18</v>
      </c>
      <c r="F19" s="1">
        <f t="shared" si="0"/>
        <v>-1</v>
      </c>
      <c r="G19" s="1">
        <f t="shared" si="1"/>
        <v>1</v>
      </c>
    </row>
    <row r="20" spans="2:7" x14ac:dyDescent="0.3">
      <c r="B20" s="1">
        <v>18</v>
      </c>
      <c r="C20" s="1" t="s">
        <v>23</v>
      </c>
      <c r="D20" s="1">
        <v>18</v>
      </c>
      <c r="E20" s="1">
        <v>8</v>
      </c>
      <c r="F20" s="1">
        <f t="shared" si="0"/>
        <v>10</v>
      </c>
      <c r="G20" s="1">
        <f t="shared" si="1"/>
        <v>100</v>
      </c>
    </row>
    <row r="21" spans="2:7" x14ac:dyDescent="0.3">
      <c r="B21" s="1">
        <v>19</v>
      </c>
      <c r="C21" s="1" t="s">
        <v>24</v>
      </c>
      <c r="D21" s="1">
        <v>18</v>
      </c>
      <c r="E21" s="1">
        <v>15</v>
      </c>
      <c r="F21" s="1">
        <f t="shared" si="0"/>
        <v>3</v>
      </c>
      <c r="G21" s="1">
        <f t="shared" si="1"/>
        <v>9</v>
      </c>
    </row>
    <row r="22" spans="2:7" x14ac:dyDescent="0.3">
      <c r="B22" s="1">
        <v>20</v>
      </c>
      <c r="C22" s="1" t="s">
        <v>25</v>
      </c>
      <c r="D22" s="1">
        <v>20</v>
      </c>
      <c r="E22" s="1">
        <v>14</v>
      </c>
      <c r="F22" s="1">
        <f t="shared" si="0"/>
        <v>6</v>
      </c>
      <c r="G22" s="1">
        <f t="shared" si="1"/>
        <v>36</v>
      </c>
    </row>
    <row r="24" spans="2:7" x14ac:dyDescent="0.3">
      <c r="F24" t="s">
        <v>26</v>
      </c>
      <c r="G24" s="1">
        <f>1-(6*SUM(G3:G22))/(20*(20^2-1))</f>
        <v>0.40225563909774431</v>
      </c>
    </row>
    <row r="25" spans="2:7" x14ac:dyDescent="0.3">
      <c r="F25" t="s">
        <v>27</v>
      </c>
      <c r="G25">
        <f>CORREL(D3:D22,E3:E22)</f>
        <v>0.39502167040981528</v>
      </c>
    </row>
    <row r="32" spans="2:7" x14ac:dyDescent="0.3">
      <c r="F32" t="s">
        <v>28</v>
      </c>
    </row>
    <row r="36" spans="6:6" x14ac:dyDescent="0.3">
      <c r="F36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AC05-569E-4095-9DEA-57F02B543465}">
  <dimension ref="B2:J20"/>
  <sheetViews>
    <sheetView tabSelected="1" topLeftCell="B1" zoomScale="79" workbookViewId="0">
      <selection activeCell="K22" sqref="K22"/>
    </sheetView>
  </sheetViews>
  <sheetFormatPr defaultRowHeight="14.4" x14ac:dyDescent="0.3"/>
  <cols>
    <col min="2" max="2" width="3.109375" bestFit="1" customWidth="1"/>
    <col min="3" max="3" width="51.88671875" bestFit="1" customWidth="1"/>
    <col min="4" max="4" width="39.77734375" bestFit="1" customWidth="1"/>
    <col min="5" max="5" width="45.6640625" bestFit="1" customWidth="1"/>
    <col min="6" max="6" width="6.109375" bestFit="1" customWidth="1"/>
    <col min="7" max="7" width="6.44140625" bestFit="1" customWidth="1"/>
    <col min="9" max="9" width="11.77734375" bestFit="1" customWidth="1"/>
    <col min="10" max="10" width="7.44140625" bestFit="1" customWidth="1"/>
  </cols>
  <sheetData>
    <row r="2" spans="2:10" x14ac:dyDescent="0.3">
      <c r="B2" t="s">
        <v>0</v>
      </c>
      <c r="C2" t="s">
        <v>30</v>
      </c>
      <c r="D2" t="s">
        <v>31</v>
      </c>
      <c r="E2" t="s">
        <v>32</v>
      </c>
      <c r="F2" t="s">
        <v>4</v>
      </c>
      <c r="G2" t="s">
        <v>5</v>
      </c>
      <c r="I2" t="s">
        <v>51</v>
      </c>
      <c r="J2">
        <v>0.5</v>
      </c>
    </row>
    <row r="3" spans="2:10" x14ac:dyDescent="0.3">
      <c r="B3">
        <v>1</v>
      </c>
      <c r="C3" t="s">
        <v>33</v>
      </c>
      <c r="D3" s="2">
        <v>1</v>
      </c>
      <c r="E3" s="2">
        <v>2</v>
      </c>
      <c r="F3" s="2">
        <f>D3-E3</f>
        <v>-1</v>
      </c>
      <c r="G3" s="2">
        <f>F3^2</f>
        <v>1</v>
      </c>
      <c r="I3" t="s">
        <v>52</v>
      </c>
      <c r="J3">
        <f>1</f>
        <v>1</v>
      </c>
    </row>
    <row r="4" spans="2:10" x14ac:dyDescent="0.3">
      <c r="B4">
        <v>2</v>
      </c>
      <c r="C4" t="s">
        <v>34</v>
      </c>
      <c r="D4" s="2">
        <v>2</v>
      </c>
      <c r="E4" s="2">
        <v>8.5</v>
      </c>
      <c r="F4" s="2">
        <f t="shared" ref="F4:F20" si="0">D4-E4</f>
        <v>-6.5</v>
      </c>
      <c r="G4" s="2">
        <f t="shared" ref="G4:G20" si="1">F4^2</f>
        <v>42.25</v>
      </c>
    </row>
    <row r="5" spans="2:10" x14ac:dyDescent="0.3">
      <c r="B5">
        <v>3</v>
      </c>
      <c r="C5" t="s">
        <v>35</v>
      </c>
      <c r="D5" s="2">
        <v>3</v>
      </c>
      <c r="E5" s="2">
        <v>13.5</v>
      </c>
      <c r="F5" s="2">
        <f t="shared" si="0"/>
        <v>-10.5</v>
      </c>
      <c r="G5" s="2">
        <f t="shared" si="1"/>
        <v>110.25</v>
      </c>
      <c r="I5" t="s">
        <v>53</v>
      </c>
      <c r="J5" s="3">
        <f>1-(6*SUM(G3:G20)+0.5+1)/(18*(18^2-1))</f>
        <v>0.49664602683178538</v>
      </c>
    </row>
    <row r="6" spans="2:10" x14ac:dyDescent="0.3">
      <c r="B6">
        <v>4</v>
      </c>
      <c r="C6" t="s">
        <v>36</v>
      </c>
      <c r="D6" s="2">
        <v>4</v>
      </c>
      <c r="E6" s="2">
        <v>12</v>
      </c>
      <c r="F6" s="2">
        <f t="shared" si="0"/>
        <v>-8</v>
      </c>
      <c r="G6" s="2">
        <f t="shared" si="1"/>
        <v>64</v>
      </c>
      <c r="I6" t="s">
        <v>27</v>
      </c>
      <c r="J6" s="3">
        <f>CORREL(D3:D20,E3:E20)</f>
        <v>0.496124097259664</v>
      </c>
    </row>
    <row r="7" spans="2:10" x14ac:dyDescent="0.3">
      <c r="B7">
        <v>5</v>
      </c>
      <c r="C7" t="s">
        <v>37</v>
      </c>
      <c r="D7" s="2">
        <v>5</v>
      </c>
      <c r="E7" s="2">
        <v>5</v>
      </c>
      <c r="F7" s="2">
        <f t="shared" si="0"/>
        <v>0</v>
      </c>
      <c r="G7" s="2">
        <f t="shared" si="1"/>
        <v>0</v>
      </c>
    </row>
    <row r="8" spans="2:10" x14ac:dyDescent="0.3">
      <c r="B8">
        <v>6</v>
      </c>
      <c r="C8" t="s">
        <v>38</v>
      </c>
      <c r="D8" s="2">
        <v>6</v>
      </c>
      <c r="E8" s="2">
        <v>3</v>
      </c>
      <c r="F8" s="2">
        <f t="shared" si="0"/>
        <v>3</v>
      </c>
      <c r="G8" s="2">
        <f t="shared" si="1"/>
        <v>9</v>
      </c>
      <c r="I8" t="s">
        <v>54</v>
      </c>
    </row>
    <row r="9" spans="2:10" x14ac:dyDescent="0.3">
      <c r="B9">
        <v>7</v>
      </c>
      <c r="C9" t="s">
        <v>39</v>
      </c>
      <c r="D9" s="2">
        <v>7</v>
      </c>
      <c r="E9" s="2">
        <v>8.5</v>
      </c>
      <c r="F9" s="2">
        <f t="shared" si="0"/>
        <v>-1.5</v>
      </c>
      <c r="G9" s="2">
        <f t="shared" si="1"/>
        <v>2.25</v>
      </c>
    </row>
    <row r="10" spans="2:10" x14ac:dyDescent="0.3">
      <c r="B10">
        <v>8</v>
      </c>
      <c r="C10" t="s">
        <v>40</v>
      </c>
      <c r="D10" s="2">
        <v>8</v>
      </c>
      <c r="E10" s="2">
        <v>6</v>
      </c>
      <c r="F10" s="2">
        <f t="shared" si="0"/>
        <v>2</v>
      </c>
      <c r="G10" s="2">
        <f t="shared" si="1"/>
        <v>4</v>
      </c>
    </row>
    <row r="11" spans="2:10" x14ac:dyDescent="0.3">
      <c r="B11">
        <v>9</v>
      </c>
      <c r="C11" t="s">
        <v>41</v>
      </c>
      <c r="D11" s="2">
        <v>9</v>
      </c>
      <c r="E11" s="2">
        <v>7</v>
      </c>
      <c r="F11" s="2">
        <f t="shared" si="0"/>
        <v>2</v>
      </c>
      <c r="G11" s="2">
        <f t="shared" si="1"/>
        <v>4</v>
      </c>
      <c r="I11" t="s">
        <v>55</v>
      </c>
    </row>
    <row r="12" spans="2:10" x14ac:dyDescent="0.3">
      <c r="B12">
        <v>10</v>
      </c>
      <c r="C12" t="s">
        <v>42</v>
      </c>
      <c r="D12" s="2">
        <v>10</v>
      </c>
      <c r="E12" s="2">
        <v>10</v>
      </c>
      <c r="F12" s="2">
        <f t="shared" si="0"/>
        <v>0</v>
      </c>
      <c r="G12" s="2">
        <f t="shared" si="1"/>
        <v>0</v>
      </c>
      <c r="I12" t="s">
        <v>56</v>
      </c>
    </row>
    <row r="13" spans="2:10" x14ac:dyDescent="0.3">
      <c r="B13">
        <v>11</v>
      </c>
      <c r="C13" t="s">
        <v>43</v>
      </c>
      <c r="D13" s="2">
        <v>11</v>
      </c>
      <c r="E13" s="2">
        <v>1</v>
      </c>
      <c r="F13" s="2">
        <f t="shared" si="0"/>
        <v>10</v>
      </c>
      <c r="G13" s="2">
        <f t="shared" si="1"/>
        <v>100</v>
      </c>
    </row>
    <row r="14" spans="2:10" x14ac:dyDescent="0.3">
      <c r="B14">
        <v>12</v>
      </c>
      <c r="C14" t="s">
        <v>44</v>
      </c>
      <c r="D14" s="2">
        <v>12.5</v>
      </c>
      <c r="E14" s="2">
        <v>15</v>
      </c>
      <c r="F14" s="2">
        <f t="shared" si="0"/>
        <v>-2.5</v>
      </c>
      <c r="G14" s="2">
        <f t="shared" si="1"/>
        <v>6.25</v>
      </c>
    </row>
    <row r="15" spans="2:10" x14ac:dyDescent="0.3">
      <c r="B15">
        <v>13</v>
      </c>
      <c r="C15" t="s">
        <v>45</v>
      </c>
      <c r="D15" s="2">
        <v>12.5</v>
      </c>
      <c r="E15" s="2">
        <v>11</v>
      </c>
      <c r="F15" s="2">
        <f t="shared" si="0"/>
        <v>1.5</v>
      </c>
      <c r="G15" s="2">
        <f t="shared" si="1"/>
        <v>2.25</v>
      </c>
    </row>
    <row r="16" spans="2:10" x14ac:dyDescent="0.3">
      <c r="B16">
        <v>14</v>
      </c>
      <c r="C16" t="s">
        <v>46</v>
      </c>
      <c r="D16" s="2">
        <v>14</v>
      </c>
      <c r="E16" s="2">
        <v>16</v>
      </c>
      <c r="F16" s="2">
        <f t="shared" si="0"/>
        <v>-2</v>
      </c>
      <c r="G16" s="2">
        <f t="shared" si="1"/>
        <v>4</v>
      </c>
    </row>
    <row r="17" spans="2:7" x14ac:dyDescent="0.3">
      <c r="B17">
        <v>15</v>
      </c>
      <c r="C17" t="s">
        <v>47</v>
      </c>
      <c r="D17" s="2">
        <v>15</v>
      </c>
      <c r="E17" s="2">
        <v>4</v>
      </c>
      <c r="F17" s="2">
        <f t="shared" si="0"/>
        <v>11</v>
      </c>
      <c r="G17" s="2">
        <f t="shared" si="1"/>
        <v>121</v>
      </c>
    </row>
    <row r="18" spans="2:7" x14ac:dyDescent="0.3">
      <c r="B18">
        <v>16</v>
      </c>
      <c r="C18" t="s">
        <v>48</v>
      </c>
      <c r="D18" s="2">
        <v>16</v>
      </c>
      <c r="E18" s="2">
        <v>18</v>
      </c>
      <c r="F18" s="2">
        <f t="shared" si="0"/>
        <v>-2</v>
      </c>
      <c r="G18" s="2">
        <f t="shared" si="1"/>
        <v>4</v>
      </c>
    </row>
    <row r="19" spans="2:7" x14ac:dyDescent="0.3">
      <c r="B19">
        <v>17</v>
      </c>
      <c r="C19" t="s">
        <v>49</v>
      </c>
      <c r="D19" s="2">
        <v>17</v>
      </c>
      <c r="E19" s="2">
        <v>13.5</v>
      </c>
      <c r="F19" s="2">
        <f t="shared" si="0"/>
        <v>3.5</v>
      </c>
      <c r="G19" s="2">
        <f t="shared" si="1"/>
        <v>12.25</v>
      </c>
    </row>
    <row r="20" spans="2:7" x14ac:dyDescent="0.3">
      <c r="B20">
        <v>18</v>
      </c>
      <c r="C20" t="s">
        <v>50</v>
      </c>
      <c r="D20" s="2">
        <v>18</v>
      </c>
      <c r="E20" s="2">
        <v>17</v>
      </c>
      <c r="F20" s="2">
        <f t="shared" si="0"/>
        <v>1</v>
      </c>
      <c r="G20" s="2">
        <f t="shared" si="1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2026-04-15T05:23:24Z</dcterms:created>
  <dcterms:modified xsi:type="dcterms:W3CDTF">2026-04-15T06:36:44Z</dcterms:modified>
</cp:coreProperties>
</file>