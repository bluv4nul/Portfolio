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Uni\Portfolio\2-course\SEM4\Mat_Stat\"/>
    </mc:Choice>
  </mc:AlternateContent>
  <xr:revisionPtr revIDLastSave="0" documentId="13_ncr:1_{D04E3F0D-1964-4331-AE50-412D85FA6394}" xr6:coauthVersionLast="47" xr6:coauthVersionMax="47" xr10:uidLastSave="{00000000-0000-0000-0000-000000000000}"/>
  <bookViews>
    <workbookView xWindow="348" yWindow="708" windowWidth="20712" windowHeight="11004" activeTab="2" xr2:uid="{7C4CE91E-DF40-458A-87C7-6BF417883421}"/>
  </bookViews>
  <sheets>
    <sheet name="Задача 1" sheetId="1" r:id="rId1"/>
    <sheet name="Задача 2" sheetId="2" r:id="rId2"/>
    <sheet name="Задача 3" sheetId="3" r:id="rId3"/>
    <sheet name="Задача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4" l="1"/>
  <c r="D13" i="4"/>
  <c r="B13" i="4"/>
  <c r="F5" i="4"/>
  <c r="F2" i="4"/>
  <c r="F27" i="3"/>
  <c r="D27" i="3"/>
  <c r="B27" i="3"/>
  <c r="F20" i="3"/>
  <c r="C18" i="3"/>
  <c r="C17" i="3"/>
  <c r="D15" i="3"/>
  <c r="F15" i="3"/>
  <c r="H15" i="3"/>
  <c r="J15" i="3"/>
  <c r="B15" i="3"/>
  <c r="J14" i="3"/>
  <c r="H14" i="3"/>
  <c r="F14" i="3"/>
  <c r="D14" i="3"/>
  <c r="B14" i="3"/>
  <c r="K12" i="3"/>
  <c r="J12" i="3"/>
  <c r="I12" i="3"/>
  <c r="H12" i="3"/>
  <c r="G12" i="3"/>
  <c r="F12" i="3"/>
  <c r="E12" i="3"/>
  <c r="D12" i="3"/>
  <c r="C12" i="3"/>
  <c r="B12" i="3"/>
  <c r="C9" i="3"/>
  <c r="C8" i="3"/>
  <c r="C7" i="3"/>
  <c r="C5" i="3"/>
  <c r="C22" i="2"/>
  <c r="C20" i="2"/>
  <c r="I7" i="2"/>
  <c r="F7" i="2"/>
  <c r="C7" i="2"/>
  <c r="C18" i="1"/>
  <c r="C16" i="1"/>
</calcChain>
</file>

<file path=xl/sharedStrings.xml><?xml version="1.0" encoding="utf-8"?>
<sst xmlns="http://schemas.openxmlformats.org/spreadsheetml/2006/main" count="47" uniqueCount="34">
  <si>
    <t>n1</t>
  </si>
  <si>
    <t>x_ср</t>
  </si>
  <si>
    <t>n2</t>
  </si>
  <si>
    <t>Дисп</t>
  </si>
  <si>
    <t>Уровень значимости a = 0,05</t>
  </si>
  <si>
    <t>U</t>
  </si>
  <si>
    <t>Дисп1</t>
  </si>
  <si>
    <t>Дисп2</t>
  </si>
  <si>
    <t>y_ср</t>
  </si>
  <si>
    <t>Ф(Uкр)</t>
  </si>
  <si>
    <t>Uкр</t>
  </si>
  <si>
    <t>m1</t>
  </si>
  <si>
    <t>m2</t>
  </si>
  <si>
    <t>Уровень значимости 0,02</t>
  </si>
  <si>
    <t>p1</t>
  </si>
  <si>
    <t>p2</t>
  </si>
  <si>
    <t>p</t>
  </si>
  <si>
    <t>k</t>
  </si>
  <si>
    <t>x_min</t>
  </si>
  <si>
    <t>x_max</t>
  </si>
  <si>
    <t>h</t>
  </si>
  <si>
    <t>Интервал</t>
  </si>
  <si>
    <t>Среднее</t>
  </si>
  <si>
    <t>Частота</t>
  </si>
  <si>
    <t>pi</t>
  </si>
  <si>
    <t>M(x)</t>
  </si>
  <si>
    <t>t</t>
  </si>
  <si>
    <t>Ф(2t)</t>
  </si>
  <si>
    <t>delta</t>
  </si>
  <si>
    <t>&lt;</t>
  </si>
  <si>
    <t>n</t>
  </si>
  <si>
    <t>Надежность</t>
  </si>
  <si>
    <t>Ф(t)</t>
  </si>
  <si>
    <t xml:space="preserve">delta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</si>
</sst>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114300</xdr:rowOff>
    </xdr:from>
    <xdr:to>
      <xdr:col>3</xdr:col>
      <xdr:colOff>390750</xdr:colOff>
      <xdr:row>14</xdr:row>
      <xdr:rowOff>61157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B2661F3-FA40-48DF-A3A3-9AD3E40E1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211580"/>
          <a:ext cx="1609950" cy="1409897"/>
        </a:xfrm>
        <a:prstGeom prst="rect">
          <a:avLst/>
        </a:prstGeom>
      </xdr:spPr>
    </xdr:pic>
    <xdr:clientData/>
  </xdr:twoCellAnchor>
  <xdr:twoCellAnchor editAs="oneCell">
    <xdr:from>
      <xdr:col>4</xdr:col>
      <xdr:colOff>7620</xdr:colOff>
      <xdr:row>6</xdr:row>
      <xdr:rowOff>175260</xdr:rowOff>
    </xdr:from>
    <xdr:to>
      <xdr:col>9</xdr:col>
      <xdr:colOff>408151</xdr:colOff>
      <xdr:row>13</xdr:row>
      <xdr:rowOff>47786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592B790E-D503-4472-A585-B481D79DB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6020" y="1272540"/>
          <a:ext cx="3448531" cy="11526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259080</xdr:colOff>
      <xdr:row>8</xdr:row>
      <xdr:rowOff>53340</xdr:rowOff>
    </xdr:from>
    <xdr:to>
      <xdr:col>10</xdr:col>
      <xdr:colOff>240453</xdr:colOff>
      <xdr:row>16</xdr:row>
      <xdr:rowOff>38302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11FFC8E-AAB6-4D99-BCCE-C612B1094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" y="1516380"/>
          <a:ext cx="3029373" cy="144800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</xdr:colOff>
      <xdr:row>8</xdr:row>
      <xdr:rowOff>45720</xdr:rowOff>
    </xdr:from>
    <xdr:to>
      <xdr:col>5</xdr:col>
      <xdr:colOff>158518</xdr:colOff>
      <xdr:row>13</xdr:row>
      <xdr:rowOff>122058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28C546E-EFB9-446F-B581-CE2E61173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040" y="1508760"/>
          <a:ext cx="2886478" cy="990738"/>
        </a:xfrm>
        <a:prstGeom prst="rect">
          <a:avLst/>
        </a:prstGeom>
      </xdr:spPr>
    </xdr:pic>
    <xdr:clientData/>
  </xdr:twoCellAnchor>
  <xdr:twoCellAnchor editAs="oneCell">
    <xdr:from>
      <xdr:col>3</xdr:col>
      <xdr:colOff>144780</xdr:colOff>
      <xdr:row>21</xdr:row>
      <xdr:rowOff>0</xdr:rowOff>
    </xdr:from>
    <xdr:to>
      <xdr:col>4</xdr:col>
      <xdr:colOff>392550</xdr:colOff>
      <xdr:row>23</xdr:row>
      <xdr:rowOff>34346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53DF979-858F-4FD7-8797-95B7287FB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3580" y="3840480"/>
          <a:ext cx="857370" cy="400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251460</xdr:colOff>
      <xdr:row>18</xdr:row>
      <xdr:rowOff>60960</xdr:rowOff>
    </xdr:from>
    <xdr:to>
      <xdr:col>2</xdr:col>
      <xdr:colOff>365861</xdr:colOff>
      <xdr:row>22</xdr:row>
      <xdr:rowOff>91546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69E71A3-CC96-44A7-9D4F-362BA6865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" y="3383280"/>
          <a:ext cx="724001" cy="762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5</xdr:row>
      <xdr:rowOff>68580</xdr:rowOff>
    </xdr:from>
    <xdr:to>
      <xdr:col>2</xdr:col>
      <xdr:colOff>297281</xdr:colOff>
      <xdr:row>9</xdr:row>
      <xdr:rowOff>84822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E61DC22-C382-47B4-8763-29F722352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982980"/>
          <a:ext cx="724001" cy="747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0C4F-5C10-4378-91BC-16D154FC7EB2}">
  <dimension ref="B2:F19"/>
  <sheetViews>
    <sheetView workbookViewId="0">
      <selection activeCell="E31" sqref="E31"/>
    </sheetView>
  </sheetViews>
  <sheetFormatPr defaultRowHeight="14.4" x14ac:dyDescent="0.3"/>
  <sheetData>
    <row r="2" spans="2:6" x14ac:dyDescent="0.3">
      <c r="B2" t="s">
        <v>0</v>
      </c>
      <c r="C2">
        <v>50</v>
      </c>
      <c r="E2" t="s">
        <v>2</v>
      </c>
      <c r="F2">
        <v>70</v>
      </c>
    </row>
    <row r="3" spans="2:6" x14ac:dyDescent="0.3">
      <c r="B3" t="s">
        <v>1</v>
      </c>
      <c r="C3">
        <v>85</v>
      </c>
      <c r="E3" t="s">
        <v>8</v>
      </c>
      <c r="F3">
        <v>74</v>
      </c>
    </row>
    <row r="4" spans="2:6" x14ac:dyDescent="0.3">
      <c r="B4" t="s">
        <v>6</v>
      </c>
      <c r="C4">
        <v>100</v>
      </c>
      <c r="E4" t="s">
        <v>7</v>
      </c>
      <c r="F4">
        <v>74</v>
      </c>
    </row>
    <row r="6" spans="2:6" x14ac:dyDescent="0.3">
      <c r="B6" t="s">
        <v>4</v>
      </c>
    </row>
    <row r="16" spans="2:6" x14ac:dyDescent="0.3">
      <c r="B16" t="s">
        <v>5</v>
      </c>
      <c r="C16">
        <f>(C3-F3)/SQRT(C4/C2+F4/F2)</f>
        <v>6.2912192182705295</v>
      </c>
    </row>
    <row r="18" spans="2:3" x14ac:dyDescent="0.3">
      <c r="B18" t="s">
        <v>9</v>
      </c>
      <c r="C18">
        <f>(1-2*0.05)/2</f>
        <v>0.45</v>
      </c>
    </row>
    <row r="19" spans="2:3" x14ac:dyDescent="0.3">
      <c r="B19" t="s">
        <v>10</v>
      </c>
      <c r="C19">
        <v>1.65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F558-1594-4C6C-A527-590E07DFFE95}">
  <dimension ref="B2:I23"/>
  <sheetViews>
    <sheetView workbookViewId="0">
      <selection activeCell="B25" sqref="B25"/>
    </sheetView>
  </sheetViews>
  <sheetFormatPr defaultRowHeight="14.4" x14ac:dyDescent="0.3"/>
  <sheetData>
    <row r="2" spans="2:9" x14ac:dyDescent="0.3">
      <c r="B2" t="s">
        <v>0</v>
      </c>
      <c r="C2">
        <v>105</v>
      </c>
      <c r="E2" t="s">
        <v>2</v>
      </c>
      <c r="F2">
        <v>140</v>
      </c>
    </row>
    <row r="3" spans="2:9" x14ac:dyDescent="0.3">
      <c r="B3" t="s">
        <v>11</v>
      </c>
      <c r="C3">
        <v>60</v>
      </c>
      <c r="E3" t="s">
        <v>12</v>
      </c>
      <c r="F3">
        <v>69</v>
      </c>
    </row>
    <row r="5" spans="2:9" x14ac:dyDescent="0.3">
      <c r="B5" t="s">
        <v>13</v>
      </c>
    </row>
    <row r="7" spans="2:9" x14ac:dyDescent="0.3">
      <c r="B7" t="s">
        <v>14</v>
      </c>
      <c r="C7" s="1">
        <f>60/105</f>
        <v>0.5714285714285714</v>
      </c>
      <c r="E7" t="s">
        <v>15</v>
      </c>
      <c r="F7" s="1">
        <f>69/140</f>
        <v>0.49285714285714288</v>
      </c>
      <c r="H7" t="s">
        <v>16</v>
      </c>
      <c r="I7">
        <f>(60+69)/(105+140)</f>
        <v>0.52653061224489794</v>
      </c>
    </row>
    <row r="20" spans="2:3" x14ac:dyDescent="0.3">
      <c r="B20" t="s">
        <v>5</v>
      </c>
      <c r="C20">
        <f>(C7-F7)/SQRT(I7*(1-I7)*(1/105+1/140))</f>
        <v>1.2189405064644943</v>
      </c>
    </row>
    <row r="22" spans="2:3" x14ac:dyDescent="0.3">
      <c r="B22" t="s">
        <v>9</v>
      </c>
      <c r="C22">
        <f>(1-0.02)/2</f>
        <v>0.49</v>
      </c>
    </row>
    <row r="23" spans="2:3" x14ac:dyDescent="0.3">
      <c r="B23" t="s">
        <v>10</v>
      </c>
      <c r="C23">
        <v>2.33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B0DB-E08C-434B-B313-E773E80B78E1}">
  <dimension ref="A1:K27"/>
  <sheetViews>
    <sheetView tabSelected="1" topLeftCell="A10" zoomScale="85" zoomScaleNormal="85" workbookViewId="0">
      <selection activeCell="E35" sqref="E35"/>
    </sheetView>
  </sheetViews>
  <sheetFormatPr defaultRowHeight="14.4" x14ac:dyDescent="0.3"/>
  <cols>
    <col min="1" max="1" width="9.77734375" customWidth="1"/>
  </cols>
  <sheetData>
    <row r="1" spans="1:11" ht="15" thickBot="1" x14ac:dyDescent="0.35"/>
    <row r="2" spans="1:11" x14ac:dyDescent="0.3">
      <c r="B2" s="2">
        <v>246</v>
      </c>
      <c r="C2" s="3">
        <v>247</v>
      </c>
      <c r="D2" s="3">
        <v>247.3</v>
      </c>
      <c r="E2" s="3">
        <v>247.4</v>
      </c>
      <c r="F2" s="3">
        <v>251.7</v>
      </c>
      <c r="G2" s="3">
        <v>252.5</v>
      </c>
      <c r="H2" s="3">
        <v>252.6</v>
      </c>
      <c r="I2" s="3">
        <v>252.8</v>
      </c>
      <c r="J2" s="3">
        <v>252.8</v>
      </c>
      <c r="K2" s="4">
        <v>252.9</v>
      </c>
    </row>
    <row r="3" spans="1:11" ht="15" thickBot="1" x14ac:dyDescent="0.35">
      <c r="B3" s="5">
        <v>253</v>
      </c>
      <c r="C3" s="6">
        <v>253.6</v>
      </c>
      <c r="D3" s="6">
        <v>254.6</v>
      </c>
      <c r="E3" s="6">
        <v>254.7</v>
      </c>
      <c r="F3" s="6">
        <v>254.8</v>
      </c>
      <c r="G3" s="6">
        <v>256.10000000000002</v>
      </c>
      <c r="H3" s="6">
        <v>256.3</v>
      </c>
      <c r="I3" s="6">
        <v>256.8</v>
      </c>
      <c r="J3" s="6">
        <v>257.39999999999998</v>
      </c>
      <c r="K3" s="7">
        <v>259.2</v>
      </c>
    </row>
    <row r="5" spans="1:11" x14ac:dyDescent="0.3">
      <c r="B5" t="s">
        <v>17</v>
      </c>
      <c r="C5">
        <f>1+3.322*LOG10(20)</f>
        <v>5.3220216455957461</v>
      </c>
      <c r="D5">
        <v>5</v>
      </c>
    </row>
    <row r="7" spans="1:11" x14ac:dyDescent="0.3">
      <c r="B7" t="s">
        <v>18</v>
      </c>
      <c r="C7">
        <f>MIN(B2:K3)</f>
        <v>246</v>
      </c>
    </row>
    <row r="8" spans="1:11" x14ac:dyDescent="0.3">
      <c r="B8" t="s">
        <v>19</v>
      </c>
      <c r="C8">
        <f>MAX(B2:K3)</f>
        <v>259.2</v>
      </c>
    </row>
    <row r="9" spans="1:11" x14ac:dyDescent="0.3">
      <c r="B9" t="s">
        <v>20</v>
      </c>
      <c r="C9">
        <f>(C8-C7)/5</f>
        <v>2.6399999999999979</v>
      </c>
    </row>
    <row r="11" spans="1:11" ht="15" thickBot="1" x14ac:dyDescent="0.35"/>
    <row r="12" spans="1:11" x14ac:dyDescent="0.3">
      <c r="A12" t="s">
        <v>21</v>
      </c>
      <c r="B12" s="2">
        <f>C7</f>
        <v>246</v>
      </c>
      <c r="C12" s="4">
        <f>B12+C9</f>
        <v>248.64</v>
      </c>
      <c r="D12" s="2">
        <f>C12</f>
        <v>248.64</v>
      </c>
      <c r="E12" s="4">
        <f>D12+C9</f>
        <v>251.27999999999997</v>
      </c>
      <c r="F12" s="2">
        <f>E12</f>
        <v>251.27999999999997</v>
      </c>
      <c r="G12" s="4">
        <f>F12+C9</f>
        <v>253.91999999999996</v>
      </c>
      <c r="H12" s="2">
        <f>G12</f>
        <v>253.91999999999996</v>
      </c>
      <c r="I12" s="4">
        <f>H12+C9</f>
        <v>256.55999999999995</v>
      </c>
      <c r="J12" s="2">
        <f>I12</f>
        <v>256.55999999999995</v>
      </c>
      <c r="K12" s="4">
        <f>J12+C9</f>
        <v>259.19999999999993</v>
      </c>
    </row>
    <row r="13" spans="1:11" x14ac:dyDescent="0.3">
      <c r="A13" t="s">
        <v>23</v>
      </c>
      <c r="B13" s="15">
        <v>4</v>
      </c>
      <c r="C13" s="16"/>
      <c r="D13" s="15">
        <v>0</v>
      </c>
      <c r="E13" s="16"/>
      <c r="F13" s="15">
        <v>8</v>
      </c>
      <c r="G13" s="16"/>
      <c r="H13" s="15">
        <v>5</v>
      </c>
      <c r="I13" s="16"/>
      <c r="J13" s="15">
        <v>3</v>
      </c>
      <c r="K13" s="16"/>
    </row>
    <row r="14" spans="1:11" ht="15" thickBot="1" x14ac:dyDescent="0.35">
      <c r="A14" t="s">
        <v>22</v>
      </c>
      <c r="B14" s="17">
        <f>B12+$C$9/2</f>
        <v>247.32</v>
      </c>
      <c r="C14" s="18"/>
      <c r="D14" s="17">
        <f>D12+$C$9/2</f>
        <v>249.95999999999998</v>
      </c>
      <c r="E14" s="18"/>
      <c r="F14" s="17">
        <f>F12+$C$9/2</f>
        <v>252.59999999999997</v>
      </c>
      <c r="G14" s="18"/>
      <c r="H14" s="17">
        <f>H12+$C$9/2</f>
        <v>255.23999999999995</v>
      </c>
      <c r="I14" s="18"/>
      <c r="J14" s="17">
        <f>J12+$C$9/2</f>
        <v>257.87999999999994</v>
      </c>
      <c r="K14" s="18"/>
    </row>
    <row r="15" spans="1:11" x14ac:dyDescent="0.3">
      <c r="A15" t="s">
        <v>24</v>
      </c>
      <c r="B15" s="11">
        <f>B13/20</f>
        <v>0.2</v>
      </c>
      <c r="C15" s="11"/>
      <c r="D15" s="11">
        <f t="shared" ref="D15" si="0">D13/20</f>
        <v>0</v>
      </c>
      <c r="E15" s="11"/>
      <c r="F15" s="11">
        <f t="shared" ref="F15" si="1">F13/20</f>
        <v>0.4</v>
      </c>
      <c r="G15" s="11"/>
      <c r="H15" s="11">
        <f t="shared" ref="H15" si="2">H13/20</f>
        <v>0.25</v>
      </c>
      <c r="I15" s="11"/>
      <c r="J15" s="11">
        <f t="shared" ref="J15" si="3">J13/20</f>
        <v>0.15</v>
      </c>
      <c r="K15" s="11"/>
    </row>
    <row r="17" spans="2:6" x14ac:dyDescent="0.3">
      <c r="B17" t="s">
        <v>25</v>
      </c>
      <c r="C17">
        <f>SUMPRODUCT(B15:K15,B14:K14)</f>
        <v>252.99599999999995</v>
      </c>
      <c r="E17" t="s">
        <v>27</v>
      </c>
      <c r="F17">
        <v>0.95</v>
      </c>
    </row>
    <row r="18" spans="2:6" x14ac:dyDescent="0.3">
      <c r="B18" t="s">
        <v>3</v>
      </c>
      <c r="C18">
        <f>_xlfn.VAR.S(B2:K3)</f>
        <v>13.306184210526304</v>
      </c>
      <c r="E18" t="s">
        <v>26</v>
      </c>
      <c r="F18">
        <v>1.96</v>
      </c>
    </row>
    <row r="20" spans="2:6" x14ac:dyDescent="0.3">
      <c r="E20" t="s">
        <v>28</v>
      </c>
      <c r="F20">
        <f>F18*SQRT(C18/20)</f>
        <v>1.598703181693804</v>
      </c>
    </row>
    <row r="25" spans="2:6" ht="15" thickBot="1" x14ac:dyDescent="0.35"/>
    <row r="26" spans="2:6" x14ac:dyDescent="0.3">
      <c r="B26" s="12" t="s">
        <v>21</v>
      </c>
      <c r="C26" s="13"/>
      <c r="D26" s="13"/>
      <c r="E26" s="13"/>
      <c r="F26" s="14"/>
    </row>
    <row r="27" spans="2:6" ht="15" thickBot="1" x14ac:dyDescent="0.35">
      <c r="B27" s="8">
        <f>C17-F20</f>
        <v>251.39729681830616</v>
      </c>
      <c r="C27" s="9" t="s">
        <v>29</v>
      </c>
      <c r="D27" s="9">
        <f>C17</f>
        <v>252.99599999999995</v>
      </c>
      <c r="E27" s="9" t="s">
        <v>29</v>
      </c>
      <c r="F27" s="10">
        <f>C17+F20</f>
        <v>254.59470318169375</v>
      </c>
    </row>
  </sheetData>
  <mergeCells count="16">
    <mergeCell ref="J13:K13"/>
    <mergeCell ref="B14:C14"/>
    <mergeCell ref="D14:E14"/>
    <mergeCell ref="F14:G14"/>
    <mergeCell ref="H14:I14"/>
    <mergeCell ref="J14:K14"/>
    <mergeCell ref="B26:F26"/>
    <mergeCell ref="B13:C13"/>
    <mergeCell ref="D13:E13"/>
    <mergeCell ref="F13:G13"/>
    <mergeCell ref="H13:I13"/>
    <mergeCell ref="B15:C15"/>
    <mergeCell ref="D15:E15"/>
    <mergeCell ref="F15:G15"/>
    <mergeCell ref="H15:I15"/>
    <mergeCell ref="J15:K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0D0E-453D-4969-BEB3-FBF0EA7453B9}">
  <dimension ref="B2:F13"/>
  <sheetViews>
    <sheetView workbookViewId="0">
      <selection activeCell="F20" sqref="F20"/>
    </sheetView>
  </sheetViews>
  <sheetFormatPr defaultRowHeight="14.4" x14ac:dyDescent="0.3"/>
  <sheetData>
    <row r="2" spans="2:6" x14ac:dyDescent="0.3">
      <c r="B2" t="s">
        <v>30</v>
      </c>
      <c r="C2">
        <v>7</v>
      </c>
      <c r="E2" t="s">
        <v>32</v>
      </c>
      <c r="F2">
        <f>C5/2</f>
        <v>0.495</v>
      </c>
    </row>
    <row r="3" spans="2:6" x14ac:dyDescent="0.3">
      <c r="B3" t="s">
        <v>1</v>
      </c>
      <c r="C3">
        <v>30</v>
      </c>
      <c r="E3" t="s">
        <v>26</v>
      </c>
      <c r="F3">
        <v>2.57</v>
      </c>
    </row>
    <row r="4" spans="2:6" x14ac:dyDescent="0.3">
      <c r="B4" t="s">
        <v>3</v>
      </c>
      <c r="C4">
        <v>36</v>
      </c>
    </row>
    <row r="5" spans="2:6" x14ac:dyDescent="0.3">
      <c r="B5" t="s">
        <v>31</v>
      </c>
      <c r="C5">
        <v>0.99</v>
      </c>
      <c r="E5" t="s">
        <v>33</v>
      </c>
      <c r="F5">
        <f>F3*SQRT(C4/C2)</f>
        <v>5.8282121738022834</v>
      </c>
    </row>
    <row r="12" spans="2:6" x14ac:dyDescent="0.3">
      <c r="B12" s="19" t="s">
        <v>21</v>
      </c>
      <c r="C12" s="19"/>
      <c r="D12" s="19"/>
      <c r="E12" s="19"/>
      <c r="F12" s="19"/>
    </row>
    <row r="13" spans="2:6" x14ac:dyDescent="0.3">
      <c r="B13" s="20">
        <f>C3-F5</f>
        <v>24.171787826197715</v>
      </c>
      <c r="C13" s="20" t="s">
        <v>29</v>
      </c>
      <c r="D13" s="20">
        <f>C3</f>
        <v>30</v>
      </c>
      <c r="E13" s="20" t="s">
        <v>29</v>
      </c>
      <c r="F13" s="20">
        <f>C3+F5</f>
        <v>35.828212173802285</v>
      </c>
    </row>
  </sheetData>
  <mergeCells count="1">
    <mergeCell ref="B12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Задача 1</vt:lpstr>
      <vt:lpstr>Задача 2</vt:lpstr>
      <vt:lpstr>Задача 3</vt:lpstr>
      <vt:lpstr>Задача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Froliv</dc:creator>
  <cp:lastModifiedBy>Andrew Froliv</cp:lastModifiedBy>
  <dcterms:created xsi:type="dcterms:W3CDTF">2026-04-01T05:32:45Z</dcterms:created>
  <dcterms:modified xsi:type="dcterms:W3CDTF">2026-04-01T06:57:17Z</dcterms:modified>
</cp:coreProperties>
</file>