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\Main Uni\Portfolio\2-course\SEM4\Mat_Stat\Гипотезы\"/>
    </mc:Choice>
  </mc:AlternateContent>
  <xr:revisionPtr revIDLastSave="0" documentId="8_{366C2B00-0040-4696-B69F-9866D2492AFD}" xr6:coauthVersionLast="47" xr6:coauthVersionMax="47" xr10:uidLastSave="{00000000-0000-0000-0000-000000000000}"/>
  <bookViews>
    <workbookView xWindow="-105" yWindow="0" windowWidth="14220" windowHeight="16305" activeTab="2" xr2:uid="{8B31296E-4EF4-4B97-8C33-0270413EA29B}"/>
  </bookViews>
  <sheets>
    <sheet name="Задача 1" sheetId="1" r:id="rId1"/>
    <sheet name="Задача 2" sheetId="2" r:id="rId2"/>
    <sheet name="Задача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3" l="1"/>
  <c r="L4" i="3"/>
  <c r="I4" i="3"/>
  <c r="F4" i="3"/>
  <c r="C4" i="3"/>
  <c r="C20" i="2"/>
  <c r="C19" i="2"/>
  <c r="C17" i="2"/>
  <c r="F7" i="2"/>
  <c r="C7" i="2"/>
  <c r="C16" i="1"/>
  <c r="C13" i="1"/>
</calcChain>
</file>

<file path=xl/sharedStrings.xml><?xml version="1.0" encoding="utf-8"?>
<sst xmlns="http://schemas.openxmlformats.org/spreadsheetml/2006/main" count="38" uniqueCount="26">
  <si>
    <t>n1</t>
  </si>
  <si>
    <t>x_avg</t>
  </si>
  <si>
    <t>n2</t>
  </si>
  <si>
    <t>y_avg</t>
  </si>
  <si>
    <t>ϭ^2</t>
  </si>
  <si>
    <t>alph</t>
  </si>
  <si>
    <t>U</t>
  </si>
  <si>
    <t>Uкр</t>
  </si>
  <si>
    <t>Ф(Uкр)</t>
  </si>
  <si>
    <t>U&lt;Uкр</t>
  </si>
  <si>
    <t>Гипотеза отвергается, новая увеличивает среднюю производительность</t>
  </si>
  <si>
    <t>p1</t>
  </si>
  <si>
    <t>p2</t>
  </si>
  <si>
    <t>p</t>
  </si>
  <si>
    <t>t</t>
  </si>
  <si>
    <t>tкр</t>
  </si>
  <si>
    <t>&lt;</t>
  </si>
  <si>
    <t>Гипотезу принимаем</t>
  </si>
  <si>
    <t>n3</t>
  </si>
  <si>
    <t>p3</t>
  </si>
  <si>
    <t>n4</t>
  </si>
  <si>
    <t>p4</t>
  </si>
  <si>
    <t>Х^2</t>
  </si>
  <si>
    <t>Хкр^2</t>
  </si>
  <si>
    <t>h_kr&gt;h</t>
  </si>
  <si>
    <t>Гипотеза отвергается, результаты отличаются значительно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</si>
</sst>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381000</xdr:colOff>
      <xdr:row>3</xdr:row>
      <xdr:rowOff>171450</xdr:rowOff>
    </xdr:from>
    <xdr:to>
      <xdr:col>4</xdr:col>
      <xdr:colOff>419275</xdr:colOff>
      <xdr:row>10</xdr:row>
      <xdr:rowOff>171636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688E28D-4653-CEF0-DD05-F00E7BA60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" y="742950"/>
          <a:ext cx="1257475" cy="13336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7</xdr:row>
      <xdr:rowOff>76200</xdr:rowOff>
    </xdr:from>
    <xdr:to>
      <xdr:col>6</xdr:col>
      <xdr:colOff>38524</xdr:colOff>
      <xdr:row>14</xdr:row>
      <xdr:rowOff>28754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617DC6A-DAD8-516E-4F50-3229B55C3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" y="1409700"/>
          <a:ext cx="3038899" cy="1286054"/>
        </a:xfrm>
        <a:prstGeom prst="rect">
          <a:avLst/>
        </a:prstGeom>
      </xdr:spPr>
    </xdr:pic>
    <xdr:clientData/>
  </xdr:twoCellAnchor>
  <xdr:twoCellAnchor editAs="oneCell">
    <xdr:from>
      <xdr:col>6</xdr:col>
      <xdr:colOff>428625</xdr:colOff>
      <xdr:row>8</xdr:row>
      <xdr:rowOff>85725</xdr:rowOff>
    </xdr:from>
    <xdr:to>
      <xdr:col>9</xdr:col>
      <xdr:colOff>238354</xdr:colOff>
      <xdr:row>12</xdr:row>
      <xdr:rowOff>104884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537B152-8ED0-1260-AA05-DF531F9C0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86225" y="1609725"/>
          <a:ext cx="1638529" cy="7811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12</xdr:row>
      <xdr:rowOff>95250</xdr:rowOff>
    </xdr:from>
    <xdr:to>
      <xdr:col>8</xdr:col>
      <xdr:colOff>515004</xdr:colOff>
      <xdr:row>20</xdr:row>
      <xdr:rowOff>85936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8F498DF-B2B8-B317-B33F-76F49FAF0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2381250"/>
          <a:ext cx="4686954" cy="15146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B621C-EA39-4FD6-B5AF-8F57D30CCA3C}">
  <dimension ref="B2:I19"/>
  <sheetViews>
    <sheetView workbookViewId="0">
      <selection activeCell="B13" sqref="B13"/>
    </sheetView>
  </sheetViews>
  <sheetFormatPr defaultRowHeight="15" x14ac:dyDescent="0.25"/>
  <sheetData>
    <row r="2" spans="2:9" x14ac:dyDescent="0.25">
      <c r="B2" t="s">
        <v>0</v>
      </c>
      <c r="C2">
        <v>50</v>
      </c>
      <c r="E2" t="s">
        <v>2</v>
      </c>
      <c r="F2">
        <v>70</v>
      </c>
      <c r="H2" t="s">
        <v>5</v>
      </c>
      <c r="I2">
        <v>0.05</v>
      </c>
    </row>
    <row r="3" spans="2:9" x14ac:dyDescent="0.25">
      <c r="B3" t="s">
        <v>1</v>
      </c>
      <c r="C3">
        <v>85</v>
      </c>
      <c r="E3" t="s">
        <v>3</v>
      </c>
      <c r="F3">
        <v>78</v>
      </c>
    </row>
    <row r="4" spans="2:9" x14ac:dyDescent="0.25">
      <c r="B4" t="s">
        <v>4</v>
      </c>
      <c r="C4">
        <v>100</v>
      </c>
      <c r="E4" t="s">
        <v>4</v>
      </c>
      <c r="F4">
        <v>74</v>
      </c>
    </row>
    <row r="13" spans="2:9" x14ac:dyDescent="0.25">
      <c r="B13" t="s">
        <v>6</v>
      </c>
      <c r="C13">
        <f>(C3-F3)/SQRT(C4/C2+F4/F2)</f>
        <v>4.0035031388994273</v>
      </c>
    </row>
    <row r="14" spans="2:9" x14ac:dyDescent="0.25">
      <c r="B14" t="s">
        <v>7</v>
      </c>
      <c r="C14">
        <v>1.645</v>
      </c>
    </row>
    <row r="16" spans="2:9" x14ac:dyDescent="0.25">
      <c r="B16" t="s">
        <v>8</v>
      </c>
      <c r="C16">
        <f>(1-2*I2)/2</f>
        <v>0.45</v>
      </c>
    </row>
    <row r="18" spans="2:2" x14ac:dyDescent="0.25">
      <c r="B18" t="s">
        <v>9</v>
      </c>
    </row>
    <row r="19" spans="2:2" x14ac:dyDescent="0.25">
      <c r="B19" t="s">
        <v>10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A42B9-A478-4F48-A333-5DD9DE356842}">
  <dimension ref="B2:F23"/>
  <sheetViews>
    <sheetView workbookViewId="0">
      <selection activeCell="B24" sqref="B24"/>
    </sheetView>
  </sheetViews>
  <sheetFormatPr defaultRowHeight="15" x14ac:dyDescent="0.25"/>
  <sheetData>
    <row r="2" spans="2:6" x14ac:dyDescent="0.25">
      <c r="B2" t="s">
        <v>0</v>
      </c>
      <c r="C2">
        <v>100</v>
      </c>
      <c r="E2" t="s">
        <v>0</v>
      </c>
      <c r="F2">
        <v>120</v>
      </c>
    </row>
    <row r="3" spans="2:6" x14ac:dyDescent="0.25">
      <c r="C3">
        <v>58</v>
      </c>
      <c r="F3">
        <v>65</v>
      </c>
    </row>
    <row r="5" spans="2:6" x14ac:dyDescent="0.25">
      <c r="B5" t="s">
        <v>5</v>
      </c>
      <c r="C5">
        <v>0.02</v>
      </c>
    </row>
    <row r="7" spans="2:6" x14ac:dyDescent="0.25">
      <c r="B7" t="s">
        <v>11</v>
      </c>
      <c r="C7">
        <f>C3/C2</f>
        <v>0.57999999999999996</v>
      </c>
      <c r="E7" t="s">
        <v>12</v>
      </c>
      <c r="F7" s="1">
        <f>F3/F2</f>
        <v>0.54166666666666663</v>
      </c>
    </row>
    <row r="17" spans="2:4" x14ac:dyDescent="0.25">
      <c r="B17" t="s">
        <v>13</v>
      </c>
      <c r="C17" s="2">
        <f>(C3+F3)/220</f>
        <v>0.55909090909090908</v>
      </c>
    </row>
    <row r="19" spans="2:4" x14ac:dyDescent="0.25">
      <c r="B19" t="s">
        <v>14</v>
      </c>
      <c r="C19">
        <f>(C7-F7)/SQRT(C17*(1-C17)*(1/100+1/120))</f>
        <v>0.57021695448758092</v>
      </c>
    </row>
    <row r="20" spans="2:4" x14ac:dyDescent="0.25">
      <c r="B20" t="s">
        <v>15</v>
      </c>
      <c r="C20">
        <f>2.33</f>
        <v>2.33</v>
      </c>
    </row>
    <row r="22" spans="2:4" x14ac:dyDescent="0.25">
      <c r="B22" t="s">
        <v>14</v>
      </c>
      <c r="C22" t="s">
        <v>16</v>
      </c>
      <c r="D22" t="s">
        <v>15</v>
      </c>
    </row>
    <row r="23" spans="2:4" x14ac:dyDescent="0.25">
      <c r="B23" t="s">
        <v>17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9CB3B-ED8A-4094-AE85-FAB29BF97036}">
  <dimension ref="B2:L26"/>
  <sheetViews>
    <sheetView tabSelected="1" workbookViewId="0">
      <selection activeCell="B27" sqref="B27"/>
    </sheetView>
  </sheetViews>
  <sheetFormatPr defaultRowHeight="15" x14ac:dyDescent="0.25"/>
  <sheetData>
    <row r="2" spans="2:12" x14ac:dyDescent="0.25">
      <c r="B2" t="s">
        <v>0</v>
      </c>
      <c r="C2">
        <v>105</v>
      </c>
      <c r="E2" t="s">
        <v>2</v>
      </c>
      <c r="F2">
        <v>140</v>
      </c>
      <c r="H2" t="s">
        <v>18</v>
      </c>
      <c r="I2">
        <v>125</v>
      </c>
      <c r="K2" t="s">
        <v>20</v>
      </c>
      <c r="L2">
        <v>160</v>
      </c>
    </row>
    <row r="3" spans="2:12" x14ac:dyDescent="0.25">
      <c r="C3">
        <v>60</v>
      </c>
      <c r="F3">
        <v>69</v>
      </c>
      <c r="I3">
        <v>63</v>
      </c>
      <c r="L3">
        <v>105</v>
      </c>
    </row>
    <row r="4" spans="2:12" x14ac:dyDescent="0.25">
      <c r="B4" t="s">
        <v>11</v>
      </c>
      <c r="C4" s="2">
        <f>C3/C2</f>
        <v>0.5714285714285714</v>
      </c>
      <c r="E4" t="s">
        <v>12</v>
      </c>
      <c r="F4" s="2">
        <f>F3/F2</f>
        <v>0.49285714285714288</v>
      </c>
      <c r="H4" t="s">
        <v>19</v>
      </c>
      <c r="I4" s="2">
        <f>I3/I2</f>
        <v>0.504</v>
      </c>
      <c r="K4" t="s">
        <v>21</v>
      </c>
      <c r="L4" s="2">
        <f>L3/L2</f>
        <v>0.65625</v>
      </c>
    </row>
    <row r="6" spans="2:12" x14ac:dyDescent="0.25">
      <c r="B6" t="s">
        <v>5</v>
      </c>
      <c r="C6">
        <v>0.05</v>
      </c>
    </row>
    <row r="8" spans="2:12" x14ac:dyDescent="0.25">
      <c r="B8" t="s">
        <v>13</v>
      </c>
      <c r="C8" s="2">
        <f>(60+69+63+105)/(105+140+125+160)</f>
        <v>0.56037735849056602</v>
      </c>
    </row>
    <row r="10" spans="2:12" x14ac:dyDescent="0.25">
      <c r="B10" t="s">
        <v>24</v>
      </c>
    </row>
    <row r="12" spans="2:12" x14ac:dyDescent="0.25">
      <c r="B12" t="s">
        <v>22</v>
      </c>
      <c r="C12" s="2">
        <v>11.15</v>
      </c>
    </row>
    <row r="23" spans="2:3" x14ac:dyDescent="0.25">
      <c r="B23" t="s">
        <v>23</v>
      </c>
      <c r="C23" s="2">
        <v>7.8</v>
      </c>
    </row>
    <row r="26" spans="2:3" x14ac:dyDescent="0.25">
      <c r="B26" t="s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Задача 1</vt:lpstr>
      <vt:lpstr>Задача 2</vt:lpstr>
      <vt:lpstr>Задача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Frolov</dc:creator>
  <cp:lastModifiedBy>Andrew Frolov</cp:lastModifiedBy>
  <dcterms:created xsi:type="dcterms:W3CDTF">2026-03-29T16:56:13Z</dcterms:created>
  <dcterms:modified xsi:type="dcterms:W3CDTF">2026-03-29T17:42:59Z</dcterms:modified>
</cp:coreProperties>
</file>