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Main Uni\Portfolio\2-course\SEM4\Mat_Stat\Гипотезы\"/>
    </mc:Choice>
  </mc:AlternateContent>
  <xr:revisionPtr revIDLastSave="0" documentId="8_{DB806C78-2D20-4543-90EE-005DDF03B057}" xr6:coauthVersionLast="47" xr6:coauthVersionMax="47" xr10:uidLastSave="{00000000-0000-0000-0000-000000000000}"/>
  <bookViews>
    <workbookView xWindow="-105" yWindow="0" windowWidth="12255" windowHeight="16305" xr2:uid="{1967355D-96A2-482D-AE34-4FCCE98F1B87}"/>
  </bookViews>
  <sheets>
    <sheet name="Задача 1" sheetId="1" r:id="rId1"/>
    <sheet name="Задача 2" sheetId="2" r:id="rId2"/>
    <sheet name="Задача 3" sheetId="3" r:id="rId3"/>
    <sheet name="Задача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4" l="1"/>
  <c r="C24" i="4"/>
  <c r="C22" i="4"/>
  <c r="C21" i="4"/>
  <c r="D5" i="4"/>
  <c r="C5" i="4"/>
  <c r="G5" i="4"/>
  <c r="B5" i="4"/>
  <c r="C15" i="3"/>
  <c r="F5" i="3"/>
  <c r="F4" i="3"/>
  <c r="C14" i="3"/>
  <c r="C9" i="2"/>
  <c r="C13" i="1"/>
</calcChain>
</file>

<file path=xl/sharedStrings.xml><?xml version="1.0" encoding="utf-8"?>
<sst xmlns="http://schemas.openxmlformats.org/spreadsheetml/2006/main" count="47" uniqueCount="34">
  <si>
    <t>n</t>
  </si>
  <si>
    <t>x_ср</t>
  </si>
  <si>
    <t>Удовлетворяет нормальному распределению</t>
  </si>
  <si>
    <t>ϭ^2</t>
  </si>
  <si>
    <t>%</t>
  </si>
  <si>
    <t>Ho</t>
  </si>
  <si>
    <t>a=49</t>
  </si>
  <si>
    <t>t</t>
  </si>
  <si>
    <t>tкр</t>
  </si>
  <si>
    <t>|-1|</t>
  </si>
  <si>
    <t>&lt;</t>
  </si>
  <si>
    <t>Гипотеза принимается</t>
  </si>
  <si>
    <t>x</t>
  </si>
  <si>
    <t>ϭ</t>
  </si>
  <si>
    <t>|-1,1294|</t>
  </si>
  <si>
    <t>Гипотеза принимается на уровне доверия 0,95</t>
  </si>
  <si>
    <t>не должна превышать</t>
  </si>
  <si>
    <t>S^2</t>
  </si>
  <si>
    <t>α</t>
  </si>
  <si>
    <t>X^2</t>
  </si>
  <si>
    <t>1-a/2</t>
  </si>
  <si>
    <t>a/2</t>
  </si>
  <si>
    <t>V</t>
  </si>
  <si>
    <t>t_кр</t>
  </si>
  <si>
    <t>Отвергается</t>
  </si>
  <si>
    <t>y</t>
  </si>
  <si>
    <t>alf</t>
  </si>
  <si>
    <t>S_x^2</t>
  </si>
  <si>
    <t>S_y^2</t>
  </si>
  <si>
    <t>k</t>
  </si>
  <si>
    <t>T</t>
  </si>
  <si>
    <t>Tкр</t>
  </si>
  <si>
    <t>T&gt;Tкр</t>
  </si>
  <si>
    <t>Гипотеза отвергается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</si>
</sst>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8</xdr:row>
      <xdr:rowOff>11206</xdr:rowOff>
    </xdr:from>
    <xdr:to>
      <xdr:col>3</xdr:col>
      <xdr:colOff>14174</xdr:colOff>
      <xdr:row>10</xdr:row>
      <xdr:rowOff>65058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03524B9-DCCC-D194-5F8E-053799C9B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736" y="1624853"/>
          <a:ext cx="1190791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5</xdr:row>
      <xdr:rowOff>28575</xdr:rowOff>
    </xdr:from>
    <xdr:to>
      <xdr:col>3</xdr:col>
      <xdr:colOff>133547</xdr:colOff>
      <xdr:row>7</xdr:row>
      <xdr:rowOff>171523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CCF6B9C-51BF-B0FC-4F4C-C9DFEBE96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990600"/>
          <a:ext cx="1409897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6</xdr:row>
      <xdr:rowOff>38100</xdr:rowOff>
    </xdr:from>
    <xdr:to>
      <xdr:col>3</xdr:col>
      <xdr:colOff>219273</xdr:colOff>
      <xdr:row>11</xdr:row>
      <xdr:rowOff>123970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C44D272-E0ED-7044-FEB9-EE636BF2C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190625"/>
          <a:ext cx="1419423" cy="103837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10</xdr:row>
      <xdr:rowOff>113656</xdr:rowOff>
    </xdr:from>
    <xdr:to>
      <xdr:col>5</xdr:col>
      <xdr:colOff>333375</xdr:colOff>
      <xdr:row>12</xdr:row>
      <xdr:rowOff>171518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88567E-837E-1D00-10DA-16C9F0B66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2028181"/>
          <a:ext cx="2762250" cy="4388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</xdr:row>
      <xdr:rowOff>0</xdr:rowOff>
    </xdr:from>
    <xdr:to>
      <xdr:col>4</xdr:col>
      <xdr:colOff>533726</xdr:colOff>
      <xdr:row>18</xdr:row>
      <xdr:rowOff>67003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29B918E-BD77-751D-01B1-2AA0960D5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143000"/>
          <a:ext cx="2333951" cy="2353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515F-FF7D-444A-A2EB-225492BBF573}">
  <dimension ref="B3:G15"/>
  <sheetViews>
    <sheetView tabSelected="1" zoomScale="85" zoomScaleNormal="85" workbookViewId="0">
      <selection activeCell="B6" sqref="B6"/>
    </sheetView>
  </sheetViews>
  <sheetFormatPr defaultRowHeight="15.75" x14ac:dyDescent="0.25"/>
  <cols>
    <col min="1" max="16384" width="9.140625" style="1"/>
  </cols>
  <sheetData>
    <row r="3" spans="2:7" x14ac:dyDescent="0.25">
      <c r="B3" s="1" t="s">
        <v>0</v>
      </c>
      <c r="C3" s="1">
        <v>9</v>
      </c>
    </row>
    <row r="4" spans="2:7" x14ac:dyDescent="0.25">
      <c r="B4" s="1" t="s">
        <v>1</v>
      </c>
      <c r="C4" s="1">
        <v>48</v>
      </c>
    </row>
    <row r="5" spans="2:7" x14ac:dyDescent="0.25">
      <c r="B5" s="1" t="s">
        <v>2</v>
      </c>
    </row>
    <row r="6" spans="2:7" x14ac:dyDescent="0.25">
      <c r="B6" s="2" t="s">
        <v>3</v>
      </c>
      <c r="C6" s="1">
        <v>9</v>
      </c>
    </row>
    <row r="7" spans="2:7" x14ac:dyDescent="0.25">
      <c r="B7" s="1" t="s">
        <v>4</v>
      </c>
      <c r="C7" s="1">
        <v>0.95</v>
      </c>
    </row>
    <row r="8" spans="2:7" x14ac:dyDescent="0.25">
      <c r="B8" s="1" t="s">
        <v>5</v>
      </c>
      <c r="C8" s="1" t="s">
        <v>6</v>
      </c>
    </row>
    <row r="13" spans="2:7" x14ac:dyDescent="0.25">
      <c r="B13" s="1" t="s">
        <v>7</v>
      </c>
      <c r="C13" s="1">
        <f>(C4-49)/3 * 3</f>
        <v>-1</v>
      </c>
      <c r="E13" s="1" t="s">
        <v>9</v>
      </c>
      <c r="F13" s="1" t="s">
        <v>10</v>
      </c>
      <c r="G13" s="1">
        <v>1.96</v>
      </c>
    </row>
    <row r="14" spans="2:7" x14ac:dyDescent="0.25">
      <c r="B14" s="1" t="s">
        <v>8</v>
      </c>
      <c r="C14" s="1">
        <v>1.96</v>
      </c>
    </row>
    <row r="15" spans="2:7" x14ac:dyDescent="0.25">
      <c r="E15" s="1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E676-9670-4BF5-9BC9-BB1856ED5C95}">
  <dimension ref="B2:G12"/>
  <sheetViews>
    <sheetView workbookViewId="0">
      <selection activeCell="E12" sqref="E12"/>
    </sheetView>
  </sheetViews>
  <sheetFormatPr defaultRowHeight="15" x14ac:dyDescent="0.25"/>
  <sheetData>
    <row r="2" spans="2:7" x14ac:dyDescent="0.25">
      <c r="B2" t="s">
        <v>12</v>
      </c>
      <c r="C2">
        <v>187.5</v>
      </c>
    </row>
    <row r="3" spans="2:7" x14ac:dyDescent="0.25">
      <c r="B3" t="s">
        <v>0</v>
      </c>
      <c r="C3">
        <v>10</v>
      </c>
    </row>
    <row r="4" spans="2:7" x14ac:dyDescent="0.25">
      <c r="B4" t="s">
        <v>1</v>
      </c>
      <c r="C4">
        <v>175</v>
      </c>
    </row>
    <row r="5" spans="2:7" ht="15.75" x14ac:dyDescent="0.25">
      <c r="B5" s="2" t="s">
        <v>13</v>
      </c>
      <c r="C5">
        <v>35</v>
      </c>
    </row>
    <row r="9" spans="2:7" ht="15.75" x14ac:dyDescent="0.25">
      <c r="B9" s="1" t="s">
        <v>7</v>
      </c>
      <c r="C9" s="1">
        <f>(175-187.5)/35 * SQRT(10)</f>
        <v>-1.1293848786315641</v>
      </c>
      <c r="D9" s="1"/>
      <c r="E9" s="1" t="s">
        <v>14</v>
      </c>
      <c r="F9" s="3" t="s">
        <v>10</v>
      </c>
      <c r="G9" s="1">
        <v>2.2599999999999998</v>
      </c>
    </row>
    <row r="10" spans="2:7" ht="15.75" x14ac:dyDescent="0.25">
      <c r="B10" s="1" t="s">
        <v>8</v>
      </c>
      <c r="C10" s="1">
        <v>2.2599999999999998</v>
      </c>
      <c r="D10" s="1"/>
      <c r="E10" s="1"/>
      <c r="F10" s="1"/>
      <c r="G10" s="1"/>
    </row>
    <row r="11" spans="2:7" ht="15.75" x14ac:dyDescent="0.25">
      <c r="B11" s="1"/>
      <c r="C11" s="1"/>
      <c r="D11" s="1"/>
      <c r="E11" s="1" t="s">
        <v>15</v>
      </c>
      <c r="F11" s="1"/>
      <c r="G11" s="1"/>
    </row>
    <row r="12" spans="2:7" ht="15.75" x14ac:dyDescent="0.25">
      <c r="B12" s="1"/>
      <c r="C12" s="1"/>
      <c r="D12" s="1"/>
      <c r="E12" s="1"/>
      <c r="F12" s="1"/>
      <c r="G1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CB9C-4009-47A3-AC42-F22D7677503A}">
  <dimension ref="B2:F19"/>
  <sheetViews>
    <sheetView workbookViewId="0">
      <selection activeCell="E21" sqref="E21"/>
    </sheetView>
  </sheetViews>
  <sheetFormatPr defaultRowHeight="15" x14ac:dyDescent="0.25"/>
  <sheetData>
    <row r="2" spans="2:6" ht="15.75" x14ac:dyDescent="0.25">
      <c r="B2" s="2" t="s">
        <v>3</v>
      </c>
      <c r="C2" s="1">
        <v>0.15</v>
      </c>
      <c r="D2" t="s">
        <v>16</v>
      </c>
    </row>
    <row r="4" spans="2:6" x14ac:dyDescent="0.25">
      <c r="B4" t="s">
        <v>0</v>
      </c>
      <c r="C4">
        <v>25</v>
      </c>
      <c r="E4" t="s">
        <v>20</v>
      </c>
      <c r="F4">
        <f>1-C6/2</f>
        <v>0.95</v>
      </c>
    </row>
    <row r="5" spans="2:6" x14ac:dyDescent="0.25">
      <c r="B5" t="s">
        <v>17</v>
      </c>
      <c r="C5">
        <v>0.25</v>
      </c>
      <c r="E5" t="s">
        <v>21</v>
      </c>
      <c r="F5">
        <f>C6/2</f>
        <v>0.05</v>
      </c>
    </row>
    <row r="6" spans="2:6" x14ac:dyDescent="0.25">
      <c r="B6" s="4" t="s">
        <v>18</v>
      </c>
      <c r="C6">
        <v>0.1</v>
      </c>
    </row>
    <row r="14" spans="2:6" x14ac:dyDescent="0.25">
      <c r="B14" t="s">
        <v>19</v>
      </c>
      <c r="C14">
        <f>24*C5/C2</f>
        <v>40</v>
      </c>
    </row>
    <row r="15" spans="2:6" x14ac:dyDescent="0.25">
      <c r="B15" t="s">
        <v>22</v>
      </c>
      <c r="C15">
        <f>F5*C4</f>
        <v>1.25</v>
      </c>
    </row>
    <row r="16" spans="2:6" x14ac:dyDescent="0.25">
      <c r="B16" t="s">
        <v>23</v>
      </c>
      <c r="C16">
        <v>33.200000000000003</v>
      </c>
    </row>
    <row r="18" spans="2:4" x14ac:dyDescent="0.25">
      <c r="B18">
        <v>40</v>
      </c>
      <c r="C18" t="s">
        <v>10</v>
      </c>
      <c r="D18">
        <v>33.200000000000003</v>
      </c>
    </row>
    <row r="19" spans="2:4" x14ac:dyDescent="0.25">
      <c r="B19" t="s">
        <v>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C853-54A8-4B2B-A350-47F0F4C3047E}">
  <dimension ref="A2:I30"/>
  <sheetViews>
    <sheetView workbookViewId="0">
      <selection activeCell="B31" sqref="B31"/>
    </sheetView>
  </sheetViews>
  <sheetFormatPr defaultRowHeight="15" x14ac:dyDescent="0.25"/>
  <sheetData>
    <row r="2" spans="1:9" x14ac:dyDescent="0.25">
      <c r="A2" s="5" t="s">
        <v>12</v>
      </c>
      <c r="B2">
        <v>304</v>
      </c>
      <c r="C2">
        <v>307</v>
      </c>
      <c r="D2">
        <v>308</v>
      </c>
      <c r="E2" s="5" t="s">
        <v>25</v>
      </c>
      <c r="F2">
        <v>303</v>
      </c>
      <c r="G2">
        <v>304</v>
      </c>
      <c r="H2">
        <v>306</v>
      </c>
      <c r="I2">
        <v>308</v>
      </c>
    </row>
    <row r="3" spans="1:9" x14ac:dyDescent="0.25">
      <c r="A3" s="5" t="s">
        <v>0</v>
      </c>
      <c r="B3">
        <v>1</v>
      </c>
      <c r="C3">
        <v>4</v>
      </c>
      <c r="D3">
        <v>4</v>
      </c>
      <c r="E3" s="5" t="s">
        <v>0</v>
      </c>
      <c r="F3">
        <v>2</v>
      </c>
      <c r="G3">
        <v>6</v>
      </c>
      <c r="H3">
        <v>4</v>
      </c>
      <c r="I3">
        <v>1</v>
      </c>
    </row>
    <row r="5" spans="1:9" x14ac:dyDescent="0.25">
      <c r="A5" t="s">
        <v>1</v>
      </c>
      <c r="B5">
        <f>SUMPRODUCT(B2:D2,B3:D3)/9</f>
        <v>307.11111111111109</v>
      </c>
      <c r="C5">
        <f>SUMPRODUCT(B2:D2,B3:D3)/9</f>
        <v>307.11111111111109</v>
      </c>
      <c r="D5">
        <f>SUMPRODUCT(B2:D2,B3:D3)/9</f>
        <v>307.11111111111109</v>
      </c>
      <c r="F5">
        <v>304.76923076923077</v>
      </c>
      <c r="G5">
        <f>SUMPRODUCT(F2:I2,F3:I3)/13</f>
        <v>304.76923076923077</v>
      </c>
      <c r="H5">
        <v>304.76923076923077</v>
      </c>
      <c r="I5">
        <v>304.76923076923077</v>
      </c>
    </row>
    <row r="7" spans="1:9" x14ac:dyDescent="0.25">
      <c r="F7" t="s">
        <v>26</v>
      </c>
      <c r="G7">
        <v>0.1</v>
      </c>
    </row>
    <row r="9" spans="1:9" x14ac:dyDescent="0.25">
      <c r="F9" t="s">
        <v>29</v>
      </c>
      <c r="G9">
        <v>20</v>
      </c>
    </row>
    <row r="21" spans="2:3" x14ac:dyDescent="0.25">
      <c r="B21" t="s">
        <v>27</v>
      </c>
      <c r="C21">
        <f>1/8*SUMXMY2(B2:D2,B5:D5)</f>
        <v>1.3101851851851702</v>
      </c>
    </row>
    <row r="22" spans="2:3" x14ac:dyDescent="0.25">
      <c r="B22" t="s">
        <v>28</v>
      </c>
      <c r="C22">
        <f>1/12*SUMXMY2(F2:I2,F5:I5)</f>
        <v>1.3062130177514777</v>
      </c>
    </row>
    <row r="24" spans="2:3" x14ac:dyDescent="0.25">
      <c r="B24" t="s">
        <v>17</v>
      </c>
      <c r="C24">
        <f>(C21*8+C22*12)/G9</f>
        <v>1.3078018847249546</v>
      </c>
    </row>
    <row r="26" spans="2:3" x14ac:dyDescent="0.25">
      <c r="B26" t="s">
        <v>30</v>
      </c>
      <c r="C26">
        <f>(B5-F5)/(C24*SQRT(1/9+1/13))</f>
        <v>4.1295652497366122</v>
      </c>
    </row>
    <row r="27" spans="2:3" x14ac:dyDescent="0.25">
      <c r="B27" t="s">
        <v>31</v>
      </c>
      <c r="C27">
        <v>1.73</v>
      </c>
    </row>
    <row r="29" spans="2:3" x14ac:dyDescent="0.25">
      <c r="B29" t="s">
        <v>32</v>
      </c>
    </row>
    <row r="30" spans="2:3" x14ac:dyDescent="0.25">
      <c r="B30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Задача 1</vt:lpstr>
      <vt:lpstr>Задача 2</vt:lpstr>
      <vt:lpstr>Задача 3</vt:lpstr>
      <vt:lpstr>Задача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Frolov</cp:lastModifiedBy>
  <dcterms:created xsi:type="dcterms:W3CDTF">2026-03-29T15:42:56Z</dcterms:created>
  <dcterms:modified xsi:type="dcterms:W3CDTF">2026-03-29T16:57:43Z</dcterms:modified>
</cp:coreProperties>
</file>