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Uni\Portfolio\2-course\SEM4\Mat_Stat\"/>
    </mc:Choice>
  </mc:AlternateContent>
  <xr:revisionPtr revIDLastSave="0" documentId="13_ncr:1_{6B0CB612-D272-41CB-988B-B0A0153AB801}" xr6:coauthVersionLast="47" xr6:coauthVersionMax="47" xr10:uidLastSave="{00000000-0000-0000-0000-000000000000}"/>
  <bookViews>
    <workbookView xWindow="-108" yWindow="-108" windowWidth="23256" windowHeight="13176" activeTab="4" xr2:uid="{1A53E326-E05B-4C79-A6C2-680E044878CA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2" i="5" l="1"/>
  <c r="R11" i="5"/>
  <c r="R8" i="5"/>
  <c r="R7" i="5"/>
  <c r="R6" i="5"/>
  <c r="Q3" i="5"/>
  <c r="J20" i="5"/>
  <c r="M20" i="5" s="1"/>
  <c r="N20" i="5" s="1"/>
  <c r="J14" i="5"/>
  <c r="M14" i="5" s="1"/>
  <c r="N14" i="5" s="1"/>
  <c r="K10" i="5"/>
  <c r="I10" i="5"/>
  <c r="G10" i="5"/>
  <c r="N4" i="5"/>
  <c r="M4" i="5"/>
  <c r="J4" i="5"/>
  <c r="B11" i="5"/>
  <c r="F34" i="4"/>
  <c r="D34" i="4"/>
  <c r="C31" i="4"/>
  <c r="B34" i="4" s="1"/>
  <c r="C25" i="4"/>
  <c r="C23" i="4"/>
  <c r="F22" i="3"/>
  <c r="D22" i="3"/>
  <c r="B22" i="3"/>
  <c r="D19" i="3"/>
  <c r="B8" i="3"/>
  <c r="E3" i="3"/>
  <c r="D3" i="3"/>
  <c r="I3" i="1"/>
  <c r="I3" i="2"/>
  <c r="D3" i="2"/>
  <c r="E7" i="2" s="1"/>
  <c r="F7" i="2" s="1"/>
  <c r="E5" i="2"/>
  <c r="F5" i="2" s="1"/>
  <c r="G3" i="2"/>
  <c r="J5" i="2" s="1"/>
  <c r="K3" i="1"/>
  <c r="H3" i="1"/>
  <c r="J8" i="1"/>
  <c r="G3" i="1"/>
  <c r="J4" i="1" s="1"/>
  <c r="D3" i="1"/>
  <c r="E4" i="1" s="1"/>
  <c r="F4" i="1" s="1"/>
  <c r="J3" i="2" l="1"/>
  <c r="J4" i="2"/>
  <c r="J6" i="2"/>
  <c r="J7" i="2"/>
  <c r="E6" i="2"/>
  <c r="F6" i="2" s="1"/>
  <c r="E4" i="2"/>
  <c r="F4" i="2" s="1"/>
  <c r="E3" i="2"/>
  <c r="F3" i="2" s="1"/>
  <c r="H3" i="2" s="1"/>
  <c r="E3" i="1"/>
  <c r="F3" i="1" s="1"/>
  <c r="J3" i="1"/>
  <c r="J7" i="1"/>
  <c r="J6" i="1"/>
  <c r="J5" i="1"/>
  <c r="E7" i="1"/>
  <c r="F7" i="1" s="1"/>
  <c r="E6" i="1"/>
  <c r="F6" i="1" s="1"/>
  <c r="E5" i="1"/>
  <c r="F5" i="1" s="1"/>
  <c r="J8" i="2" l="1"/>
  <c r="K3" i="2" s="1"/>
</calcChain>
</file>

<file path=xl/sharedStrings.xml><?xml version="1.0" encoding="utf-8"?>
<sst xmlns="http://schemas.openxmlformats.org/spreadsheetml/2006/main" count="93" uniqueCount="54">
  <si>
    <t>n</t>
  </si>
  <si>
    <t>d</t>
  </si>
  <si>
    <t>d_0</t>
  </si>
  <si>
    <t>d_i - d_0</t>
  </si>
  <si>
    <t xml:space="preserve"> (d_i - d_0)^2</t>
  </si>
  <si>
    <t>Ср. Кв. Погр</t>
  </si>
  <si>
    <t>Станд. Откл</t>
  </si>
  <si>
    <t>Абсолютн. Погр</t>
  </si>
  <si>
    <t>Ср. d</t>
  </si>
  <si>
    <t>среднее</t>
  </si>
  <si>
    <t>Относит. Погр, %</t>
  </si>
  <si>
    <t>ё</t>
  </si>
  <si>
    <t>x</t>
  </si>
  <si>
    <t>x_0</t>
  </si>
  <si>
    <t>x_i - x_0</t>
  </si>
  <si>
    <t xml:space="preserve"> (x_i - x_0)^2</t>
  </si>
  <si>
    <t>Ср. X</t>
  </si>
  <si>
    <t>x_ср</t>
  </si>
  <si>
    <t>Ср. Кв. Откл</t>
  </si>
  <si>
    <t>v = n - 1</t>
  </si>
  <si>
    <t>t</t>
  </si>
  <si>
    <t>Выборка - Случайная, Повторная =&gt; используем формулу ниже</t>
  </si>
  <si>
    <t>dt</t>
  </si>
  <si>
    <t>Интервал</t>
  </si>
  <si>
    <t>&lt;</t>
  </si>
  <si>
    <t>n_брак</t>
  </si>
  <si>
    <t>2Ф</t>
  </si>
  <si>
    <t>Ф</t>
  </si>
  <si>
    <t>p</t>
  </si>
  <si>
    <t>Используем приближение</t>
  </si>
  <si>
    <t>n/N =</t>
  </si>
  <si>
    <t>a, мм</t>
  </si>
  <si>
    <t>b, мм</t>
  </si>
  <si>
    <t>h, мм</t>
  </si>
  <si>
    <t>Среднее</t>
  </si>
  <si>
    <t>Для b</t>
  </si>
  <si>
    <t>b</t>
  </si>
  <si>
    <t>b_ср</t>
  </si>
  <si>
    <t>Погрешность штангенциркуля</t>
  </si>
  <si>
    <t>Цена деления штангенциркуля</t>
  </si>
  <si>
    <t>Ср. Кв. Отклон</t>
  </si>
  <si>
    <t>погрешность результата</t>
  </si>
  <si>
    <t>Общая погрешность</t>
  </si>
  <si>
    <t>b = 12,800 +- 0,124 мм</t>
  </si>
  <si>
    <t>Для a</t>
  </si>
  <si>
    <t>Для h</t>
  </si>
  <si>
    <t>V</t>
  </si>
  <si>
    <t>Относительные погрешности измерений:</t>
  </si>
  <si>
    <t>a</t>
  </si>
  <si>
    <t>h</t>
  </si>
  <si>
    <t>Погрешность V</t>
  </si>
  <si>
    <t>Относ</t>
  </si>
  <si>
    <t>Абсол</t>
  </si>
  <si>
    <t>2405,9 +- 52,8 мм^3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</si>
</sst>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65" fontId="1" fillId="4" borderId="10" xfId="0" applyNumberFormat="1" applyFont="1" applyFill="1" applyBorder="1" applyAlignment="1">
      <alignment horizontal="center" vertical="center"/>
    </xf>
    <xf numFmtId="165" fontId="1" fillId="4" borderId="11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5" fontId="1" fillId="3" borderId="13" xfId="0" applyNumberFormat="1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65" fontId="1" fillId="3" borderId="29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65" fontId="1" fillId="3" borderId="13" xfId="0" applyNumberFormat="1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/>
    <xf numFmtId="0" fontId="2" fillId="5" borderId="32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8</xdr:row>
      <xdr:rowOff>30480</xdr:rowOff>
    </xdr:from>
    <xdr:to>
      <xdr:col>8</xdr:col>
      <xdr:colOff>464820</xdr:colOff>
      <xdr:row>14</xdr:row>
      <xdr:rowOff>134113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86A5C8A-7976-499C-9735-454D7B727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371600"/>
          <a:ext cx="4267200" cy="1109473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</xdr:colOff>
      <xdr:row>9</xdr:row>
      <xdr:rowOff>129540</xdr:rowOff>
    </xdr:from>
    <xdr:to>
      <xdr:col>10</xdr:col>
      <xdr:colOff>796388</xdr:colOff>
      <xdr:row>14</xdr:row>
      <xdr:rowOff>101078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5BCE571-E042-4748-A477-FEF82795B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1638300"/>
          <a:ext cx="704948" cy="809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19051</xdr:rowOff>
    </xdr:from>
    <xdr:to>
      <xdr:col>12</xdr:col>
      <xdr:colOff>28576</xdr:colOff>
      <xdr:row>18</xdr:row>
      <xdr:rowOff>75575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9B91FC4-E2E4-46FA-B60C-8D199F391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6" y="209551"/>
          <a:ext cx="6705600" cy="3295024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25</xdr:row>
      <xdr:rowOff>7620</xdr:rowOff>
    </xdr:from>
    <xdr:to>
      <xdr:col>4</xdr:col>
      <xdr:colOff>501157</xdr:colOff>
      <xdr:row>25</xdr:row>
      <xdr:rowOff>179094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DDF9D03-2D11-410E-ACC8-8C81856A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0240" y="4770120"/>
          <a:ext cx="1019317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20</xdr:row>
      <xdr:rowOff>7621</xdr:rowOff>
    </xdr:from>
    <xdr:to>
      <xdr:col>16</xdr:col>
      <xdr:colOff>571501</xdr:colOff>
      <xdr:row>26</xdr:row>
      <xdr:rowOff>92175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35F96E5-A6AD-4BC7-A13A-E2EE1783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72841" y="3817621"/>
          <a:ext cx="6652260" cy="1227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31D-F49E-4C0A-A011-1DDB2BB8C819}">
  <dimension ref="B1:K17"/>
  <sheetViews>
    <sheetView workbookViewId="0">
      <selection activeCell="K9" sqref="K9"/>
    </sheetView>
  </sheetViews>
  <sheetFormatPr defaultRowHeight="14.4" x14ac:dyDescent="0.3"/>
  <cols>
    <col min="1" max="1" width="8.88671875" style="1"/>
    <col min="2" max="2" width="8.109375" style="1" bestFit="1" customWidth="1"/>
    <col min="3" max="3" width="6" style="1" bestFit="1" customWidth="1"/>
    <col min="4" max="4" width="5" style="1" bestFit="1" customWidth="1"/>
    <col min="5" max="5" width="8.21875" style="1" bestFit="1" customWidth="1"/>
    <col min="6" max="6" width="11.88671875" style="1" bestFit="1" customWidth="1"/>
    <col min="7" max="7" width="7" style="1" bestFit="1" customWidth="1"/>
    <col min="8" max="9" width="11.5546875" style="1" bestFit="1" customWidth="1"/>
    <col min="10" max="10" width="14.77734375" style="1" bestFit="1" customWidth="1"/>
    <col min="11" max="11" width="16" style="1" bestFit="1" customWidth="1"/>
    <col min="12" max="12" width="8.88671875" style="1" customWidth="1"/>
    <col min="13" max="16384" width="8.88671875" style="1"/>
  </cols>
  <sheetData>
    <row r="1" spans="2:11" ht="15" thickBot="1" x14ac:dyDescent="0.35"/>
    <row r="2" spans="2:11" x14ac:dyDescent="0.3">
      <c r="B2" s="2" t="s">
        <v>0</v>
      </c>
      <c r="C2" s="16" t="s">
        <v>1</v>
      </c>
      <c r="D2" s="16" t="s">
        <v>2</v>
      </c>
      <c r="E2" s="17" t="s">
        <v>3</v>
      </c>
      <c r="F2" s="16" t="s">
        <v>4</v>
      </c>
      <c r="G2" s="16" t="s">
        <v>8</v>
      </c>
      <c r="H2" s="16" t="s">
        <v>5</v>
      </c>
      <c r="I2" s="16" t="s">
        <v>6</v>
      </c>
      <c r="J2" s="16" t="s">
        <v>7</v>
      </c>
      <c r="K2" s="3" t="s">
        <v>10</v>
      </c>
    </row>
    <row r="3" spans="2:11" x14ac:dyDescent="0.3">
      <c r="B3" s="4">
        <v>1</v>
      </c>
      <c r="C3" s="10">
        <v>14.85</v>
      </c>
      <c r="D3" s="39">
        <f>14.8</f>
        <v>14.8</v>
      </c>
      <c r="E3" s="13">
        <f>C3-$D$3</f>
        <v>4.9999999999998934E-2</v>
      </c>
      <c r="F3" s="11">
        <f>E3^2</f>
        <v>2.4999999999998934E-3</v>
      </c>
      <c r="G3" s="39">
        <f>AVERAGE(C3:C7)</f>
        <v>14.818000000000001</v>
      </c>
      <c r="H3" s="39">
        <f>SUM(F3:F7)/5</f>
        <v>8.5999999999997049E-4</v>
      </c>
      <c r="I3" s="41">
        <f>_xlfn.STDEV.S(C3:C7)</f>
        <v>2.5884358211089496E-2</v>
      </c>
      <c r="J3" s="18">
        <f>ABS(C3-$G$3)</f>
        <v>3.1999999999998252E-2</v>
      </c>
      <c r="K3" s="38">
        <f>J8/G3 * 100</f>
        <v>0.145768659738157</v>
      </c>
    </row>
    <row r="4" spans="2:11" x14ac:dyDescent="0.3">
      <c r="B4" s="4">
        <v>2</v>
      </c>
      <c r="C4" s="11">
        <v>14.8</v>
      </c>
      <c r="D4" s="39"/>
      <c r="E4" s="14">
        <f t="shared" ref="E4:E7" si="0">C4-$D$3</f>
        <v>0</v>
      </c>
      <c r="F4" s="11">
        <f t="shared" ref="F4:F7" si="1">E4^2</f>
        <v>0</v>
      </c>
      <c r="G4" s="39"/>
      <c r="H4" s="39"/>
      <c r="I4" s="41"/>
      <c r="J4" s="18">
        <f t="shared" ref="J4:J7" si="2">ABS(C4-$G$3)</f>
        <v>1.8000000000000682E-2</v>
      </c>
      <c r="K4" s="38"/>
    </row>
    <row r="5" spans="2:11" x14ac:dyDescent="0.3">
      <c r="B5" s="4">
        <v>3</v>
      </c>
      <c r="C5" s="11">
        <v>14.79</v>
      </c>
      <c r="D5" s="39"/>
      <c r="E5" s="14">
        <f t="shared" si="0"/>
        <v>-1.0000000000001563E-2</v>
      </c>
      <c r="F5" s="11">
        <f t="shared" si="1"/>
        <v>1.0000000000003127E-4</v>
      </c>
      <c r="G5" s="39"/>
      <c r="H5" s="39"/>
      <c r="I5" s="41"/>
      <c r="J5" s="18">
        <f t="shared" si="2"/>
        <v>2.8000000000002245E-2</v>
      </c>
      <c r="K5" s="38"/>
    </row>
    <row r="6" spans="2:11" x14ac:dyDescent="0.3">
      <c r="B6" s="4">
        <v>4</v>
      </c>
      <c r="C6" s="11">
        <v>14.84</v>
      </c>
      <c r="D6" s="39"/>
      <c r="E6" s="14">
        <f t="shared" si="0"/>
        <v>3.9999999999999147E-2</v>
      </c>
      <c r="F6" s="11">
        <f t="shared" si="1"/>
        <v>1.5999999999999318E-3</v>
      </c>
      <c r="G6" s="39"/>
      <c r="H6" s="39"/>
      <c r="I6" s="41"/>
      <c r="J6" s="18">
        <f t="shared" si="2"/>
        <v>2.1999999999998465E-2</v>
      </c>
      <c r="K6" s="38"/>
    </row>
    <row r="7" spans="2:11" x14ac:dyDescent="0.3">
      <c r="B7" s="5">
        <v>5</v>
      </c>
      <c r="C7" s="12">
        <v>14.81</v>
      </c>
      <c r="D7" s="40"/>
      <c r="E7" s="15">
        <f t="shared" si="0"/>
        <v>9.9999999999997868E-3</v>
      </c>
      <c r="F7" s="12">
        <f t="shared" si="1"/>
        <v>9.9999999999995736E-5</v>
      </c>
      <c r="G7" s="40"/>
      <c r="H7" s="40"/>
      <c r="I7" s="42"/>
      <c r="J7" s="19">
        <f t="shared" si="2"/>
        <v>8.0000000000008953E-3</v>
      </c>
      <c r="K7" s="38"/>
    </row>
    <row r="8" spans="2:11" ht="15" thickBot="1" x14ac:dyDescent="0.35">
      <c r="B8" s="6" t="s">
        <v>9</v>
      </c>
      <c r="C8" s="7"/>
      <c r="D8" s="7"/>
      <c r="E8" s="7"/>
      <c r="F8" s="7"/>
      <c r="G8" s="7"/>
      <c r="H8" s="7"/>
      <c r="I8" s="7"/>
      <c r="J8" s="8">
        <f>AVERAGE(J3:J7)</f>
        <v>2.1600000000000109E-2</v>
      </c>
      <c r="K8" s="9"/>
    </row>
    <row r="17" spans="10:10" x14ac:dyDescent="0.3">
      <c r="J17" s="1" t="s">
        <v>11</v>
      </c>
    </row>
  </sheetData>
  <mergeCells count="5">
    <mergeCell ref="K3:K7"/>
    <mergeCell ref="D3:D7"/>
    <mergeCell ref="G3:G7"/>
    <mergeCell ref="I3:I7"/>
    <mergeCell ref="H3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971D-EA2A-44FC-A17E-18A41982E4F2}">
  <dimension ref="B1:K8"/>
  <sheetViews>
    <sheetView workbookViewId="0">
      <selection activeCell="F26" sqref="F26"/>
    </sheetView>
  </sheetViews>
  <sheetFormatPr defaultRowHeight="14.4" x14ac:dyDescent="0.3"/>
  <cols>
    <col min="1" max="1" width="8.88671875" style="1"/>
    <col min="2" max="2" width="8.109375" style="1" bestFit="1" customWidth="1"/>
    <col min="3" max="4" width="5" style="1" bestFit="1" customWidth="1"/>
    <col min="5" max="5" width="8.21875" style="1" bestFit="1" customWidth="1"/>
    <col min="6" max="6" width="11.88671875" style="1" bestFit="1" customWidth="1"/>
    <col min="7" max="7" width="6" style="1" bestFit="1" customWidth="1"/>
    <col min="8" max="8" width="11.5546875" style="1" bestFit="1" customWidth="1"/>
    <col min="9" max="9" width="12.5546875" style="1" bestFit="1" customWidth="1"/>
    <col min="10" max="10" width="14.77734375" style="1" bestFit="1" customWidth="1"/>
    <col min="11" max="11" width="16" style="1" bestFit="1" customWidth="1"/>
    <col min="12" max="16384" width="8.88671875" style="1"/>
  </cols>
  <sheetData>
    <row r="1" spans="2:11" ht="15" thickBot="1" x14ac:dyDescent="0.35"/>
    <row r="2" spans="2:11" x14ac:dyDescent="0.3">
      <c r="B2" s="2" t="s">
        <v>0</v>
      </c>
      <c r="C2" s="16" t="s">
        <v>12</v>
      </c>
      <c r="D2" s="16" t="s">
        <v>13</v>
      </c>
      <c r="E2" s="17" t="s">
        <v>14</v>
      </c>
      <c r="F2" s="16" t="s">
        <v>15</v>
      </c>
      <c r="G2" s="16" t="s">
        <v>16</v>
      </c>
      <c r="H2" s="16" t="s">
        <v>5</v>
      </c>
      <c r="I2" s="16" t="s">
        <v>6</v>
      </c>
      <c r="J2" s="16" t="s">
        <v>7</v>
      </c>
      <c r="K2" s="3" t="s">
        <v>10</v>
      </c>
    </row>
    <row r="3" spans="2:11" x14ac:dyDescent="0.3">
      <c r="B3" s="4">
        <v>1</v>
      </c>
      <c r="C3" s="10">
        <v>7.48</v>
      </c>
      <c r="D3" s="39">
        <f>7.48</f>
        <v>7.48</v>
      </c>
      <c r="E3" s="13">
        <f>C3-$D$3</f>
        <v>0</v>
      </c>
      <c r="F3" s="11">
        <f>E3^2</f>
        <v>0</v>
      </c>
      <c r="G3" s="39">
        <f>AVERAGE(C3:C7)</f>
        <v>7.492</v>
      </c>
      <c r="H3" s="39">
        <f>SUM(F3:F7)/5</f>
        <v>4.3999999999998478E-4</v>
      </c>
      <c r="I3" s="41">
        <f>_xlfn.STDEV.S(C3:C7)</f>
        <v>1.9235384061671187E-2</v>
      </c>
      <c r="J3" s="18">
        <f>ABS(C3-$G$3)</f>
        <v>1.1999999999999567E-2</v>
      </c>
      <c r="K3" s="38">
        <f>J8/G3 * 100</f>
        <v>0.19220501868659681</v>
      </c>
    </row>
    <row r="4" spans="2:11" x14ac:dyDescent="0.3">
      <c r="B4" s="4">
        <v>2</v>
      </c>
      <c r="C4" s="11">
        <v>7.49</v>
      </c>
      <c r="D4" s="39"/>
      <c r="E4" s="14">
        <f t="shared" ref="E4:E7" si="0">C4-$D$3</f>
        <v>9.9999999999997868E-3</v>
      </c>
      <c r="F4" s="11">
        <f t="shared" ref="F4:F7" si="1">E4^2</f>
        <v>9.9999999999995736E-5</v>
      </c>
      <c r="G4" s="39"/>
      <c r="H4" s="39"/>
      <c r="I4" s="41"/>
      <c r="J4" s="18">
        <f t="shared" ref="J4:J7" si="2">ABS(C4-$G$3)</f>
        <v>1.9999999999997797E-3</v>
      </c>
      <c r="K4" s="38"/>
    </row>
    <row r="5" spans="2:11" x14ac:dyDescent="0.3">
      <c r="B5" s="4">
        <v>3</v>
      </c>
      <c r="C5" s="11">
        <v>7.52</v>
      </c>
      <c r="D5" s="39"/>
      <c r="E5" s="14">
        <f t="shared" si="0"/>
        <v>3.9999999999999147E-2</v>
      </c>
      <c r="F5" s="11">
        <f t="shared" si="1"/>
        <v>1.5999999999999318E-3</v>
      </c>
      <c r="G5" s="39"/>
      <c r="H5" s="39"/>
      <c r="I5" s="41"/>
      <c r="J5" s="18">
        <f t="shared" si="2"/>
        <v>2.7999999999999581E-2</v>
      </c>
      <c r="K5" s="38"/>
    </row>
    <row r="6" spans="2:11" x14ac:dyDescent="0.3">
      <c r="B6" s="4">
        <v>4</v>
      </c>
      <c r="C6" s="11">
        <v>7.47</v>
      </c>
      <c r="D6" s="39"/>
      <c r="E6" s="14">
        <f t="shared" si="0"/>
        <v>-1.0000000000000675E-2</v>
      </c>
      <c r="F6" s="11">
        <f t="shared" si="1"/>
        <v>1.000000000000135E-4</v>
      </c>
      <c r="G6" s="39"/>
      <c r="H6" s="39"/>
      <c r="I6" s="41"/>
      <c r="J6" s="18">
        <f t="shared" si="2"/>
        <v>2.2000000000000242E-2</v>
      </c>
      <c r="K6" s="38"/>
    </row>
    <row r="7" spans="2:11" x14ac:dyDescent="0.3">
      <c r="B7" s="5">
        <v>5</v>
      </c>
      <c r="C7" s="12">
        <v>7.5</v>
      </c>
      <c r="D7" s="40"/>
      <c r="E7" s="15">
        <f t="shared" si="0"/>
        <v>1.9999999999999574E-2</v>
      </c>
      <c r="F7" s="12">
        <f t="shared" si="1"/>
        <v>3.9999999999998294E-4</v>
      </c>
      <c r="G7" s="40"/>
      <c r="H7" s="40"/>
      <c r="I7" s="42"/>
      <c r="J7" s="19">
        <f t="shared" si="2"/>
        <v>8.0000000000000071E-3</v>
      </c>
      <c r="K7" s="38"/>
    </row>
    <row r="8" spans="2:11" ht="15" thickBot="1" x14ac:dyDescent="0.35">
      <c r="B8" s="6" t="s">
        <v>9</v>
      </c>
      <c r="C8" s="7"/>
      <c r="D8" s="7"/>
      <c r="E8" s="7"/>
      <c r="F8" s="7"/>
      <c r="G8" s="7"/>
      <c r="H8" s="7"/>
      <c r="I8" s="7"/>
      <c r="J8" s="8">
        <f>AVERAGE(J3:J7)</f>
        <v>1.4399999999999835E-2</v>
      </c>
      <c r="K8" s="9"/>
    </row>
  </sheetData>
  <mergeCells count="5">
    <mergeCell ref="D3:D7"/>
    <mergeCell ref="G3:G7"/>
    <mergeCell ref="H3:H7"/>
    <mergeCell ref="I3:I7"/>
    <mergeCell ref="K3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7418-3EAF-4B2F-A148-C001D28F440A}">
  <dimension ref="B1:K22"/>
  <sheetViews>
    <sheetView workbookViewId="0">
      <selection activeCell="E3" sqref="E3:E5"/>
    </sheetView>
  </sheetViews>
  <sheetFormatPr defaultRowHeight="13.2" x14ac:dyDescent="0.3"/>
  <cols>
    <col min="1" max="1" width="8.88671875" style="20"/>
    <col min="2" max="2" width="7.77734375" style="20" bestFit="1" customWidth="1"/>
    <col min="3" max="4" width="6" style="20" bestFit="1" customWidth="1"/>
    <col min="5" max="5" width="11.77734375" style="20" bestFit="1" customWidth="1"/>
    <col min="6" max="6" width="6.5546875" style="20" bestFit="1" customWidth="1"/>
    <col min="7" max="10" width="8.88671875" style="20"/>
    <col min="11" max="11" width="57.6640625" style="20" bestFit="1" customWidth="1"/>
    <col min="12" max="12" width="8.88671875" style="20"/>
    <col min="13" max="13" width="57.6640625" style="20" bestFit="1" customWidth="1"/>
    <col min="14" max="16384" width="8.88671875" style="20"/>
  </cols>
  <sheetData>
    <row r="1" spans="2:11" ht="13.8" thickBot="1" x14ac:dyDescent="0.35"/>
    <row r="2" spans="2:11" x14ac:dyDescent="0.3">
      <c r="B2" s="21" t="s">
        <v>0</v>
      </c>
      <c r="C2" s="22" t="s">
        <v>12</v>
      </c>
      <c r="D2" s="22" t="s">
        <v>17</v>
      </c>
      <c r="E2" s="23" t="s">
        <v>18</v>
      </c>
    </row>
    <row r="3" spans="2:11" x14ac:dyDescent="0.3">
      <c r="B3" s="24">
        <v>1</v>
      </c>
      <c r="C3" s="25">
        <v>47.12</v>
      </c>
      <c r="D3" s="43">
        <f>AVERAGE(C3:C5)</f>
        <v>47.109999999999992</v>
      </c>
      <c r="E3" s="45">
        <f>_xlfn.STDEV.S(C3:C5)</f>
        <v>2.6457513110647354E-2</v>
      </c>
    </row>
    <row r="4" spans="2:11" x14ac:dyDescent="0.3">
      <c r="B4" s="24">
        <v>2</v>
      </c>
      <c r="C4" s="25">
        <v>47.08</v>
      </c>
      <c r="D4" s="43"/>
      <c r="E4" s="45"/>
    </row>
    <row r="5" spans="2:11" ht="13.8" thickBot="1" x14ac:dyDescent="0.35">
      <c r="B5" s="27">
        <v>3</v>
      </c>
      <c r="C5" s="28">
        <v>47.13</v>
      </c>
      <c r="D5" s="44"/>
      <c r="E5" s="46"/>
    </row>
    <row r="6" spans="2:11" ht="13.8" thickBot="1" x14ac:dyDescent="0.35"/>
    <row r="7" spans="2:11" ht="13.8" thickBot="1" x14ac:dyDescent="0.35">
      <c r="B7" s="35" t="s">
        <v>19</v>
      </c>
      <c r="C7" s="36" t="s">
        <v>20</v>
      </c>
      <c r="D7" s="22"/>
      <c r="E7" s="22"/>
      <c r="F7" s="22"/>
      <c r="G7" s="22"/>
      <c r="H7" s="22"/>
      <c r="I7" s="23"/>
    </row>
    <row r="8" spans="2:11" ht="13.8" thickBot="1" x14ac:dyDescent="0.35">
      <c r="B8" s="27">
        <f>3-1</f>
        <v>2</v>
      </c>
      <c r="C8" s="37">
        <v>4.3</v>
      </c>
      <c r="D8" s="25"/>
      <c r="E8" s="25"/>
      <c r="F8" s="25"/>
      <c r="G8" s="25"/>
      <c r="H8" s="25"/>
      <c r="I8" s="26"/>
    </row>
    <row r="9" spans="2:11" x14ac:dyDescent="0.3">
      <c r="B9" s="24"/>
      <c r="C9" s="25"/>
      <c r="D9" s="25"/>
      <c r="E9" s="25"/>
      <c r="F9" s="25"/>
      <c r="G9" s="25"/>
      <c r="H9" s="25"/>
      <c r="I9" s="26"/>
      <c r="K9" s="20" t="s">
        <v>21</v>
      </c>
    </row>
    <row r="10" spans="2:11" x14ac:dyDescent="0.3">
      <c r="B10" s="24"/>
      <c r="C10" s="25"/>
      <c r="D10" s="25"/>
      <c r="E10" s="25"/>
      <c r="F10" s="25"/>
      <c r="G10" s="25"/>
      <c r="H10" s="25"/>
      <c r="I10" s="26"/>
    </row>
    <row r="11" spans="2:11" x14ac:dyDescent="0.3">
      <c r="B11" s="24"/>
      <c r="C11" s="25"/>
      <c r="D11" s="25"/>
      <c r="E11" s="25"/>
      <c r="F11" s="25"/>
      <c r="G11" s="25"/>
      <c r="H11" s="25"/>
      <c r="I11" s="26"/>
    </row>
    <row r="12" spans="2:11" x14ac:dyDescent="0.3">
      <c r="B12" s="24"/>
      <c r="C12" s="25"/>
      <c r="D12" s="25"/>
      <c r="E12" s="25"/>
      <c r="F12" s="25"/>
      <c r="G12" s="25"/>
      <c r="H12" s="25"/>
      <c r="I12" s="26"/>
    </row>
    <row r="13" spans="2:11" x14ac:dyDescent="0.3">
      <c r="B13" s="24"/>
      <c r="C13" s="25"/>
      <c r="D13" s="25"/>
      <c r="E13" s="25"/>
      <c r="F13" s="25"/>
      <c r="G13" s="25"/>
      <c r="H13" s="25"/>
      <c r="I13" s="26"/>
    </row>
    <row r="14" spans="2:11" x14ac:dyDescent="0.3">
      <c r="B14" s="24"/>
      <c r="C14" s="25"/>
      <c r="D14" s="25"/>
      <c r="E14" s="25"/>
      <c r="F14" s="25"/>
      <c r="G14" s="25"/>
      <c r="H14" s="25"/>
      <c r="I14" s="26"/>
    </row>
    <row r="15" spans="2:11" ht="13.8" thickBot="1" x14ac:dyDescent="0.35">
      <c r="B15" s="27"/>
      <c r="C15" s="28"/>
      <c r="D15" s="28"/>
      <c r="E15" s="28"/>
      <c r="F15" s="28"/>
      <c r="G15" s="28"/>
      <c r="H15" s="28"/>
      <c r="I15" s="29"/>
    </row>
    <row r="17" spans="2:6" ht="13.8" thickBot="1" x14ac:dyDescent="0.35"/>
    <row r="18" spans="2:6" x14ac:dyDescent="0.3">
      <c r="B18" s="21"/>
      <c r="C18" s="22"/>
      <c r="D18" s="30" t="s">
        <v>22</v>
      </c>
      <c r="E18" s="22"/>
      <c r="F18" s="23"/>
    </row>
    <row r="19" spans="2:6" ht="13.8" thickBot="1" x14ac:dyDescent="0.35">
      <c r="B19" s="24"/>
      <c r="C19" s="25"/>
      <c r="D19" s="31">
        <f>C8*SQRT(E3^2/3)</f>
        <v>6.5683584961037295E-2</v>
      </c>
      <c r="E19" s="25"/>
      <c r="F19" s="26"/>
    </row>
    <row r="20" spans="2:6" ht="13.8" thickBot="1" x14ac:dyDescent="0.35">
      <c r="B20" s="24"/>
      <c r="C20" s="25"/>
      <c r="D20" s="25"/>
      <c r="E20" s="25"/>
      <c r="F20" s="26"/>
    </row>
    <row r="21" spans="2:6" ht="13.8" thickBot="1" x14ac:dyDescent="0.35">
      <c r="B21" s="47" t="s">
        <v>23</v>
      </c>
      <c r="C21" s="48"/>
      <c r="D21" s="48"/>
      <c r="E21" s="48"/>
      <c r="F21" s="49"/>
    </row>
    <row r="22" spans="2:6" ht="13.8" thickBot="1" x14ac:dyDescent="0.35">
      <c r="B22" s="32">
        <f>D3-D19</f>
        <v>47.044316415038956</v>
      </c>
      <c r="C22" s="33" t="s">
        <v>24</v>
      </c>
      <c r="D22" s="33">
        <f>D3</f>
        <v>47.109999999999992</v>
      </c>
      <c r="E22" s="33" t="s">
        <v>24</v>
      </c>
      <c r="F22" s="34">
        <f>D3+D19</f>
        <v>47.175683584961028</v>
      </c>
    </row>
  </sheetData>
  <mergeCells count="3">
    <mergeCell ref="D3:D5"/>
    <mergeCell ref="E3:E5"/>
    <mergeCell ref="B21:F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5674-87EB-4DF0-8A25-9D2873269059}">
  <dimension ref="B21:F34"/>
  <sheetViews>
    <sheetView topLeftCell="A20" zoomScaleNormal="100" workbookViewId="0">
      <selection activeCell="L33" sqref="L33"/>
    </sheetView>
  </sheetViews>
  <sheetFormatPr defaultRowHeight="15" x14ac:dyDescent="0.3"/>
  <cols>
    <col min="1" max="16384" width="8.88671875" style="52"/>
  </cols>
  <sheetData>
    <row r="21" spans="2:4" x14ac:dyDescent="0.3">
      <c r="B21" s="52" t="s">
        <v>0</v>
      </c>
      <c r="C21" s="52">
        <v>50</v>
      </c>
    </row>
    <row r="22" spans="2:4" x14ac:dyDescent="0.3">
      <c r="B22" s="52" t="s">
        <v>25</v>
      </c>
      <c r="C22" s="52">
        <v>6</v>
      </c>
    </row>
    <row r="23" spans="2:4" x14ac:dyDescent="0.3">
      <c r="B23" s="52" t="s">
        <v>28</v>
      </c>
      <c r="C23" s="52">
        <f>C22/C21</f>
        <v>0.12</v>
      </c>
    </row>
    <row r="24" spans="2:4" x14ac:dyDescent="0.3">
      <c r="B24" s="52" t="s">
        <v>26</v>
      </c>
      <c r="C24" s="52">
        <v>0.95</v>
      </c>
    </row>
    <row r="25" spans="2:4" x14ac:dyDescent="0.3">
      <c r="B25" s="52" t="s">
        <v>27</v>
      </c>
      <c r="C25" s="52">
        <f>C24/2</f>
        <v>0.47499999999999998</v>
      </c>
    </row>
    <row r="26" spans="2:4" x14ac:dyDescent="0.3">
      <c r="B26" s="52" t="s">
        <v>20</v>
      </c>
      <c r="C26" s="52">
        <v>1.96</v>
      </c>
    </row>
    <row r="28" spans="2:4" x14ac:dyDescent="0.3">
      <c r="B28" s="57" t="s">
        <v>29</v>
      </c>
      <c r="C28" s="57"/>
      <c r="D28" s="57"/>
    </row>
    <row r="29" spans="2:4" x14ac:dyDescent="0.3">
      <c r="B29" s="59" t="s">
        <v>30</v>
      </c>
      <c r="C29" s="58">
        <v>0.05</v>
      </c>
      <c r="D29" s="57"/>
    </row>
    <row r="31" spans="2:4" x14ac:dyDescent="0.3">
      <c r="B31" s="52" t="s">
        <v>22</v>
      </c>
      <c r="C31" s="53">
        <f>C26*SQRT((C23*(1-C23)/C21)*(1 - C29))</f>
        <v>8.7793998883750599E-2</v>
      </c>
    </row>
    <row r="33" spans="2:6" x14ac:dyDescent="0.3">
      <c r="B33" s="54" t="s">
        <v>23</v>
      </c>
      <c r="C33" s="54"/>
      <c r="D33" s="54"/>
      <c r="E33" s="54"/>
      <c r="F33" s="54"/>
    </row>
    <row r="34" spans="2:6" x14ac:dyDescent="0.3">
      <c r="B34" s="56">
        <f>C23-C31</f>
        <v>3.2206001116249397E-2</v>
      </c>
      <c r="C34" s="55" t="s">
        <v>24</v>
      </c>
      <c r="D34" s="56">
        <f>C23</f>
        <v>0.12</v>
      </c>
      <c r="E34" s="55" t="s">
        <v>24</v>
      </c>
      <c r="F34" s="56">
        <f>C23+C31</f>
        <v>0.20779399888375061</v>
      </c>
    </row>
  </sheetData>
  <mergeCells count="1">
    <mergeCell ref="B33:F3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EDB5-3CB9-423B-A363-8E5384C907E4}">
  <dimension ref="B2:R22"/>
  <sheetViews>
    <sheetView tabSelected="1" topLeftCell="F1" workbookViewId="0">
      <selection activeCell="S12" sqref="S12"/>
    </sheetView>
  </sheetViews>
  <sheetFormatPr defaultRowHeight="15" x14ac:dyDescent="0.25"/>
  <cols>
    <col min="1" max="1" width="8.88671875" style="50"/>
    <col min="2" max="2" width="10" style="50" customWidth="1"/>
    <col min="3" max="6" width="8.88671875" style="50"/>
    <col min="7" max="7" width="7.77734375" style="50" bestFit="1" customWidth="1"/>
    <col min="8" max="8" width="6.44140625" style="50" bestFit="1" customWidth="1"/>
    <col min="9" max="9" width="5.88671875" style="50" bestFit="1" customWidth="1"/>
    <col min="10" max="10" width="16.44140625" style="50" bestFit="1" customWidth="1"/>
    <col min="11" max="11" width="7.77734375" style="50" bestFit="1" customWidth="1"/>
    <col min="12" max="12" width="5.88671875" style="50" bestFit="1" customWidth="1"/>
    <col min="13" max="13" width="26.5546875" style="50" bestFit="1" customWidth="1"/>
    <col min="14" max="14" width="22.21875" style="50" bestFit="1" customWidth="1"/>
    <col min="15" max="16384" width="8.88671875" style="50"/>
  </cols>
  <sheetData>
    <row r="2" spans="2:18" ht="15.6" thickBot="1" x14ac:dyDescent="0.3">
      <c r="B2" s="62" t="s">
        <v>0</v>
      </c>
      <c r="C2" s="62" t="s">
        <v>31</v>
      </c>
      <c r="D2" s="63" t="s">
        <v>32</v>
      </c>
      <c r="E2" s="62" t="s">
        <v>33</v>
      </c>
      <c r="G2" s="80" t="s">
        <v>35</v>
      </c>
      <c r="H2" s="81"/>
      <c r="I2" s="81"/>
      <c r="J2" s="81"/>
      <c r="K2" s="81"/>
      <c r="L2" s="81"/>
      <c r="M2" s="81"/>
      <c r="N2" s="82"/>
      <c r="Q2" s="50" t="s">
        <v>46</v>
      </c>
    </row>
    <row r="3" spans="2:18" ht="15.6" thickBot="1" x14ac:dyDescent="0.3">
      <c r="B3" s="61">
        <v>1</v>
      </c>
      <c r="C3" s="61">
        <v>12.7</v>
      </c>
      <c r="D3" s="60">
        <v>12.7</v>
      </c>
      <c r="E3" s="61">
        <v>14.8</v>
      </c>
      <c r="G3" s="78" t="s">
        <v>0</v>
      </c>
      <c r="H3" s="66" t="s">
        <v>32</v>
      </c>
      <c r="I3" s="66" t="s">
        <v>37</v>
      </c>
      <c r="J3" s="66" t="s">
        <v>40</v>
      </c>
      <c r="K3" s="66" t="s">
        <v>27</v>
      </c>
      <c r="L3" s="66" t="s">
        <v>20</v>
      </c>
      <c r="M3" s="66" t="s">
        <v>41</v>
      </c>
      <c r="N3" s="79" t="s">
        <v>42</v>
      </c>
      <c r="Q3" s="50">
        <f>I4*I14*I20</f>
        <v>2405.8880000000004</v>
      </c>
    </row>
    <row r="4" spans="2:18" x14ac:dyDescent="0.25">
      <c r="B4" s="61">
        <v>2</v>
      </c>
      <c r="C4" s="61">
        <v>12.7</v>
      </c>
      <c r="D4" s="60">
        <v>12.8</v>
      </c>
      <c r="E4" s="61">
        <v>14.9</v>
      </c>
      <c r="G4" s="68">
        <v>1</v>
      </c>
      <c r="H4" s="60">
        <v>12.7</v>
      </c>
      <c r="I4" s="64">
        <v>12.8</v>
      </c>
      <c r="J4" s="69">
        <f>_xlfn.STDEV.S(H4:H6)</f>
        <v>0.10000000000000053</v>
      </c>
      <c r="K4" s="64">
        <v>0.47499999999999998</v>
      </c>
      <c r="L4" s="64">
        <v>1.96</v>
      </c>
      <c r="M4" s="70">
        <f>L4*SQRT(J4^2/3)</f>
        <v>0.11316065276116724</v>
      </c>
      <c r="N4" s="71">
        <f>SQRT(M4^2+B11^2)</f>
        <v>0.12371472561232744</v>
      </c>
    </row>
    <row r="5" spans="2:18" x14ac:dyDescent="0.25">
      <c r="B5" s="61">
        <v>3</v>
      </c>
      <c r="C5" s="61">
        <v>12.7</v>
      </c>
      <c r="D5" s="60">
        <v>12.9</v>
      </c>
      <c r="E5" s="61">
        <v>14.7</v>
      </c>
      <c r="G5" s="68">
        <v>2</v>
      </c>
      <c r="H5" s="60">
        <v>12.8</v>
      </c>
      <c r="I5" s="64"/>
      <c r="J5" s="69"/>
      <c r="K5" s="64"/>
      <c r="L5" s="64"/>
      <c r="M5" s="70"/>
      <c r="N5" s="71"/>
      <c r="Q5" s="50" t="s">
        <v>47</v>
      </c>
    </row>
    <row r="6" spans="2:18" ht="15.6" thickBot="1" x14ac:dyDescent="0.3">
      <c r="B6" s="62" t="s">
        <v>34</v>
      </c>
      <c r="C6" s="62">
        <v>12.7</v>
      </c>
      <c r="D6" s="63">
        <v>12.8</v>
      </c>
      <c r="E6" s="62">
        <v>14.8</v>
      </c>
      <c r="G6" s="72">
        <v>3</v>
      </c>
      <c r="H6" s="73">
        <v>12.9</v>
      </c>
      <c r="I6" s="74"/>
      <c r="J6" s="75"/>
      <c r="K6" s="74"/>
      <c r="L6" s="74"/>
      <c r="M6" s="76"/>
      <c r="N6" s="77"/>
      <c r="Q6" s="50" t="s">
        <v>48</v>
      </c>
      <c r="R6" s="50">
        <f>N4/I4</f>
        <v>9.665212938463081E-3</v>
      </c>
    </row>
    <row r="7" spans="2:18" x14ac:dyDescent="0.25">
      <c r="Q7" s="50" t="s">
        <v>36</v>
      </c>
      <c r="R7" s="50">
        <f>N14/I14</f>
        <v>3.9370078740157488E-3</v>
      </c>
    </row>
    <row r="8" spans="2:18" x14ac:dyDescent="0.25">
      <c r="B8" s="50" t="s">
        <v>39</v>
      </c>
      <c r="G8" s="50" t="s">
        <v>43</v>
      </c>
      <c r="Q8" s="50" t="s">
        <v>49</v>
      </c>
      <c r="R8" s="50">
        <f>N20/I20</f>
        <v>8.3591030819140152E-3</v>
      </c>
    </row>
    <row r="9" spans="2:18" ht="15.6" thickBot="1" x14ac:dyDescent="0.3">
      <c r="B9" s="51">
        <v>0.1</v>
      </c>
      <c r="C9" s="51"/>
      <c r="D9" s="51"/>
      <c r="E9" s="51"/>
    </row>
    <row r="10" spans="2:18" ht="15.6" customHeight="1" thickBot="1" x14ac:dyDescent="0.3">
      <c r="B10" s="50" t="s">
        <v>38</v>
      </c>
      <c r="G10" s="65">
        <f>12.8-N4</f>
        <v>12.676285274387673</v>
      </c>
      <c r="H10" s="66" t="s">
        <v>24</v>
      </c>
      <c r="I10" s="66">
        <f>12.8</f>
        <v>12.8</v>
      </c>
      <c r="J10" s="66" t="s">
        <v>24</v>
      </c>
      <c r="K10" s="67">
        <f>12.8+N4</f>
        <v>12.923714725612328</v>
      </c>
      <c r="Q10" s="50" t="s">
        <v>50</v>
      </c>
    </row>
    <row r="11" spans="2:18" x14ac:dyDescent="0.25">
      <c r="B11" s="51">
        <f>B9/2</f>
        <v>0.05</v>
      </c>
      <c r="C11" s="51"/>
      <c r="D11" s="51"/>
      <c r="E11" s="51"/>
      <c r="Q11" s="50" t="s">
        <v>51</v>
      </c>
      <c r="R11" s="50">
        <f>SUM(R6:R8)</f>
        <v>2.1961323894392842E-2</v>
      </c>
    </row>
    <row r="12" spans="2:18" ht="15.6" thickBot="1" x14ac:dyDescent="0.3">
      <c r="G12" s="80" t="s">
        <v>44</v>
      </c>
      <c r="H12" s="81"/>
      <c r="I12" s="81"/>
      <c r="J12" s="81"/>
      <c r="K12" s="81"/>
      <c r="L12" s="81"/>
      <c r="M12" s="81"/>
      <c r="N12" s="82"/>
      <c r="Q12" s="50" t="s">
        <v>52</v>
      </c>
      <c r="R12" s="50">
        <f>Q3*R11</f>
        <v>52.836485621633017</v>
      </c>
    </row>
    <row r="13" spans="2:18" ht="15.6" thickBot="1" x14ac:dyDescent="0.3">
      <c r="G13" s="78" t="s">
        <v>0</v>
      </c>
      <c r="H13" s="66" t="s">
        <v>32</v>
      </c>
      <c r="I13" s="66" t="s">
        <v>37</v>
      </c>
      <c r="J13" s="66" t="s">
        <v>40</v>
      </c>
      <c r="K13" s="66" t="s">
        <v>27</v>
      </c>
      <c r="L13" s="66" t="s">
        <v>20</v>
      </c>
      <c r="M13" s="66" t="s">
        <v>41</v>
      </c>
      <c r="N13" s="79" t="s">
        <v>42</v>
      </c>
    </row>
    <row r="14" spans="2:18" x14ac:dyDescent="0.25">
      <c r="G14" s="68">
        <v>1</v>
      </c>
      <c r="H14" s="60">
        <v>12.7</v>
      </c>
      <c r="I14" s="64">
        <v>12.7</v>
      </c>
      <c r="J14" s="69">
        <f>_xlfn.STDEV.S(H14:H16)</f>
        <v>2.1755839288168292E-15</v>
      </c>
      <c r="K14" s="64">
        <v>0.47499999999999998</v>
      </c>
      <c r="L14" s="64">
        <v>1.96</v>
      </c>
      <c r="M14" s="70">
        <f>L14*SQRT(J14^2/3)</f>
        <v>2.4619049752161589E-15</v>
      </c>
      <c r="N14" s="71">
        <f>SQRT(M14^2+B11^2)</f>
        <v>0.05</v>
      </c>
      <c r="Q14" s="50" t="s">
        <v>46</v>
      </c>
    </row>
    <row r="15" spans="2:18" x14ac:dyDescent="0.25">
      <c r="G15" s="68">
        <v>2</v>
      </c>
      <c r="H15" s="60">
        <v>12.7</v>
      </c>
      <c r="I15" s="64"/>
      <c r="J15" s="69"/>
      <c r="K15" s="64"/>
      <c r="L15" s="64"/>
      <c r="M15" s="70"/>
      <c r="N15" s="71"/>
      <c r="Q15" s="50" t="s">
        <v>53</v>
      </c>
    </row>
    <row r="16" spans="2:18" ht="15.6" thickBot="1" x14ac:dyDescent="0.3">
      <c r="G16" s="72">
        <v>3</v>
      </c>
      <c r="H16" s="73">
        <v>12.7</v>
      </c>
      <c r="I16" s="74"/>
      <c r="J16" s="75"/>
      <c r="K16" s="74"/>
      <c r="L16" s="74"/>
      <c r="M16" s="76"/>
      <c r="N16" s="77"/>
    </row>
    <row r="18" spans="7:14" ht="15.6" thickBot="1" x14ac:dyDescent="0.3">
      <c r="G18" s="80" t="s">
        <v>45</v>
      </c>
      <c r="H18" s="81"/>
      <c r="I18" s="81"/>
      <c r="J18" s="81"/>
      <c r="K18" s="81"/>
      <c r="L18" s="81"/>
      <c r="M18" s="81"/>
      <c r="N18" s="82"/>
    </row>
    <row r="19" spans="7:14" ht="15.6" thickBot="1" x14ac:dyDescent="0.3">
      <c r="G19" s="78" t="s">
        <v>0</v>
      </c>
      <c r="H19" s="66" t="s">
        <v>32</v>
      </c>
      <c r="I19" s="66" t="s">
        <v>37</v>
      </c>
      <c r="J19" s="66" t="s">
        <v>40</v>
      </c>
      <c r="K19" s="66" t="s">
        <v>27</v>
      </c>
      <c r="L19" s="66" t="s">
        <v>20</v>
      </c>
      <c r="M19" s="66" t="s">
        <v>41</v>
      </c>
      <c r="N19" s="79" t="s">
        <v>42</v>
      </c>
    </row>
    <row r="20" spans="7:14" x14ac:dyDescent="0.25">
      <c r="G20" s="68">
        <v>1</v>
      </c>
      <c r="H20" s="60">
        <v>14.8</v>
      </c>
      <c r="I20" s="64">
        <v>14.8</v>
      </c>
      <c r="J20" s="69">
        <f>_xlfn.STDEV.S(H20:H22)</f>
        <v>0.10000000000000053</v>
      </c>
      <c r="K20" s="64">
        <v>0.47499999999999998</v>
      </c>
      <c r="L20" s="64">
        <v>1.96</v>
      </c>
      <c r="M20" s="70">
        <f>L20*SQRT(J20^2/3)</f>
        <v>0.11316065276116724</v>
      </c>
      <c r="N20" s="71">
        <f>SQRT(M20^2+B11^2)</f>
        <v>0.12371472561232744</v>
      </c>
    </row>
    <row r="21" spans="7:14" x14ac:dyDescent="0.25">
      <c r="G21" s="68">
        <v>2</v>
      </c>
      <c r="H21" s="60">
        <v>14.9</v>
      </c>
      <c r="I21" s="64"/>
      <c r="J21" s="69"/>
      <c r="K21" s="64"/>
      <c r="L21" s="64"/>
      <c r="M21" s="70"/>
      <c r="N21" s="71"/>
    </row>
    <row r="22" spans="7:14" ht="15.6" thickBot="1" x14ac:dyDescent="0.3">
      <c r="G22" s="72">
        <v>3</v>
      </c>
      <c r="H22" s="73">
        <v>14.7</v>
      </c>
      <c r="I22" s="74"/>
      <c r="J22" s="75"/>
      <c r="K22" s="74"/>
      <c r="L22" s="74"/>
      <c r="M22" s="76"/>
      <c r="N22" s="77"/>
    </row>
  </sheetData>
  <mergeCells count="23">
    <mergeCell ref="G2:N2"/>
    <mergeCell ref="G12:N12"/>
    <mergeCell ref="G18:N18"/>
    <mergeCell ref="I20:I22"/>
    <mergeCell ref="J20:J22"/>
    <mergeCell ref="K20:K22"/>
    <mergeCell ref="L20:L22"/>
    <mergeCell ref="M20:M22"/>
    <mergeCell ref="N20:N22"/>
    <mergeCell ref="M4:M6"/>
    <mergeCell ref="N4:N6"/>
    <mergeCell ref="I14:I16"/>
    <mergeCell ref="J14:J16"/>
    <mergeCell ref="K14:K16"/>
    <mergeCell ref="L14:L16"/>
    <mergeCell ref="M14:M16"/>
    <mergeCell ref="N14:N16"/>
    <mergeCell ref="I4:I6"/>
    <mergeCell ref="B9:E9"/>
    <mergeCell ref="B11:E11"/>
    <mergeCell ref="J4:J6"/>
    <mergeCell ref="K4:K6"/>
    <mergeCell ref="L4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Задание 4</vt:lpstr>
      <vt:lpstr>Задание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2026-03-16T07:12:06Z</dcterms:created>
  <dcterms:modified xsi:type="dcterms:W3CDTF">2026-03-16T09:43:14Z</dcterms:modified>
</cp:coreProperties>
</file>