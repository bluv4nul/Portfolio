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Portfolio\2-course\Физика\"/>
    </mc:Choice>
  </mc:AlternateContent>
  <xr:revisionPtr revIDLastSave="0" documentId="8_{38E90A3E-6253-478D-AC78-D8D0F0072EEE}" xr6:coauthVersionLast="47" xr6:coauthVersionMax="47" xr10:uidLastSave="{00000000-0000-0000-0000-000000000000}"/>
  <bookViews>
    <workbookView xWindow="-108" yWindow="-108" windowWidth="23256" windowHeight="13176" activeTab="3" xr2:uid="{307CA3D8-9B63-4DA9-9D39-2AECDB9E48F3}"/>
  </bookViews>
  <sheets>
    <sheet name="Лист1" sheetId="1" r:id="rId1"/>
    <sheet name="Водород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2" i="2"/>
  <c r="E4" i="2"/>
  <c r="I3" i="1"/>
  <c r="C9" i="3"/>
  <c r="C8" i="3"/>
  <c r="C7" i="3"/>
  <c r="C6" i="3"/>
  <c r="C5" i="3"/>
  <c r="C4" i="3"/>
  <c r="C3" i="3"/>
  <c r="C2" i="3"/>
  <c r="C4" i="2"/>
  <c r="C3" i="2"/>
  <c r="C2" i="2"/>
  <c r="D5" i="1"/>
</calcChain>
</file>

<file path=xl/sharedStrings.xml><?xml version="1.0" encoding="utf-8"?>
<sst xmlns="http://schemas.openxmlformats.org/spreadsheetml/2006/main" count="34" uniqueCount="28">
  <si>
    <t>Цвет</t>
  </si>
  <si>
    <t>Длина волны, нм</t>
  </si>
  <si>
    <t>Показание шкалы барабана, L, град</t>
  </si>
  <si>
    <t>№</t>
  </si>
  <si>
    <t>Темно красная</t>
  </si>
  <si>
    <t>Фиолетовая 2</t>
  </si>
  <si>
    <t>Фиолетовая 1</t>
  </si>
  <si>
    <t>Синяя</t>
  </si>
  <si>
    <t>зелено-голубая 1</t>
  </si>
  <si>
    <t>зелено-голубая 2</t>
  </si>
  <si>
    <t>светло-желая 1</t>
  </si>
  <si>
    <t>светло-желая 2</t>
  </si>
  <si>
    <t>зеленая</t>
  </si>
  <si>
    <t>Цвет линии</t>
  </si>
  <si>
    <t>Показания шкалы</t>
  </si>
  <si>
    <t>Красный</t>
  </si>
  <si>
    <t>Голубой</t>
  </si>
  <si>
    <t>Фиолетовый</t>
  </si>
  <si>
    <t>Красная</t>
  </si>
  <si>
    <t>Оранжевый</t>
  </si>
  <si>
    <t>Зеленый 1</t>
  </si>
  <si>
    <t>Зеленый 2</t>
  </si>
  <si>
    <t>Зелено-голубой</t>
  </si>
  <si>
    <t>Синий</t>
  </si>
  <si>
    <t>Фиолетовый 1</t>
  </si>
  <si>
    <t>Фиолетовый 2</t>
  </si>
  <si>
    <t>Постоянная Ридберга, м^-1*10^4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</si>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</sst>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lambda(L)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Лист1!$D$3:$D$11</c:f>
              <c:numCache>
                <c:formatCode>General</c:formatCode>
                <c:ptCount val="9"/>
                <c:pt idx="0">
                  <c:v>2650</c:v>
                </c:pt>
                <c:pt idx="1">
                  <c:v>2450</c:v>
                </c:pt>
                <c:pt idx="2">
                  <c:v>2436</c:v>
                </c:pt>
                <c:pt idx="3">
                  <c:v>2256</c:v>
                </c:pt>
                <c:pt idx="4">
                  <c:v>1870</c:v>
                </c:pt>
                <c:pt idx="5">
                  <c:v>1842</c:v>
                </c:pt>
                <c:pt idx="6">
                  <c:v>1172</c:v>
                </c:pt>
                <c:pt idx="7">
                  <c:v>669</c:v>
                </c:pt>
                <c:pt idx="8">
                  <c:v>603</c:v>
                </c:pt>
              </c:numCache>
            </c:numRef>
          </c:xVal>
          <c:yVal>
            <c:numRef>
              <c:f>Лист1!$C$3:$C$11</c:f>
              <c:numCache>
                <c:formatCode>General</c:formatCode>
                <c:ptCount val="9"/>
                <c:pt idx="0">
                  <c:v>623.42999999999995</c:v>
                </c:pt>
                <c:pt idx="1">
                  <c:v>579.05999999999995</c:v>
                </c:pt>
                <c:pt idx="2">
                  <c:v>576.96</c:v>
                </c:pt>
                <c:pt idx="3">
                  <c:v>546.07000000000005</c:v>
                </c:pt>
                <c:pt idx="4">
                  <c:v>496.03</c:v>
                </c:pt>
                <c:pt idx="5">
                  <c:v>491.6</c:v>
                </c:pt>
                <c:pt idx="6">
                  <c:v>435.83</c:v>
                </c:pt>
                <c:pt idx="7">
                  <c:v>407.78</c:v>
                </c:pt>
                <c:pt idx="8">
                  <c:v>404.65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7E-4B35-93DF-46F14CADF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837935"/>
        <c:axId val="1280848751"/>
      </c:scatterChart>
      <c:valAx>
        <c:axId val="1280837935"/>
        <c:scaling>
          <c:orientation val="minMax"/>
          <c:max val="30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0848751"/>
        <c:crosses val="autoZero"/>
        <c:crossBetween val="midCat"/>
        <c:majorUnit val="250"/>
        <c:minorUnit val="10"/>
      </c:valAx>
      <c:valAx>
        <c:axId val="1280848751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0837935"/>
        <c:crosses val="autoZero"/>
        <c:crossBetween val="midCat"/>
        <c:majorUnit val="10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12</xdr:row>
      <xdr:rowOff>7620</xdr:rowOff>
    </xdr:from>
    <xdr:to>
      <xdr:col>6</xdr:col>
      <xdr:colOff>281940</xdr:colOff>
      <xdr:row>32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921C665-4BA0-49A3-A6A6-D5B621DDF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E5A7-4761-4FF9-9EB6-CC16C9C0BC88}">
  <dimension ref="A2:I11"/>
  <sheetViews>
    <sheetView workbookViewId="0">
      <selection activeCell="I17" sqref="I17"/>
    </sheetView>
  </sheetViews>
  <sheetFormatPr defaultRowHeight="14.4" x14ac:dyDescent="0.3"/>
  <cols>
    <col min="1" max="1" width="5.33203125" style="1" customWidth="1"/>
    <col min="2" max="2" width="17.44140625" style="1" customWidth="1"/>
    <col min="3" max="3" width="17.6640625" style="1" customWidth="1"/>
    <col min="4" max="4" width="31.77734375" style="1" customWidth="1"/>
  </cols>
  <sheetData>
    <row r="2" spans="1:9" x14ac:dyDescent="0.3">
      <c r="A2" s="1" t="s">
        <v>3</v>
      </c>
      <c r="B2" s="1" t="s">
        <v>0</v>
      </c>
      <c r="C2" s="1" t="s">
        <v>1</v>
      </c>
      <c r="D2" s="1" t="s">
        <v>2</v>
      </c>
    </row>
    <row r="3" spans="1:9" x14ac:dyDescent="0.3">
      <c r="A3" s="1">
        <v>1</v>
      </c>
      <c r="B3" s="1" t="s">
        <v>4</v>
      </c>
      <c r="C3" s="1">
        <v>623.42999999999995</v>
      </c>
      <c r="D3" s="1">
        <v>2650</v>
      </c>
      <c r="H3">
        <v>708.2</v>
      </c>
      <c r="I3">
        <f>2950-18</f>
        <v>2932</v>
      </c>
    </row>
    <row r="4" spans="1:9" x14ac:dyDescent="0.3">
      <c r="A4" s="1">
        <v>2</v>
      </c>
      <c r="B4" s="1" t="s">
        <v>10</v>
      </c>
      <c r="C4" s="1">
        <v>579.05999999999995</v>
      </c>
      <c r="D4" s="1">
        <v>2450</v>
      </c>
    </row>
    <row r="5" spans="1:9" x14ac:dyDescent="0.3">
      <c r="A5" s="1">
        <v>3</v>
      </c>
      <c r="B5" s="1" t="s">
        <v>11</v>
      </c>
      <c r="C5" s="1">
        <v>576.96</v>
      </c>
      <c r="D5" s="1">
        <f>2450-14</f>
        <v>2436</v>
      </c>
    </row>
    <row r="6" spans="1:9" x14ac:dyDescent="0.3">
      <c r="A6" s="1">
        <v>4</v>
      </c>
      <c r="B6" s="1" t="s">
        <v>12</v>
      </c>
      <c r="C6" s="1">
        <v>546.07000000000005</v>
      </c>
      <c r="D6" s="1">
        <v>2256</v>
      </c>
    </row>
    <row r="7" spans="1:9" x14ac:dyDescent="0.3">
      <c r="A7" s="1">
        <v>5</v>
      </c>
      <c r="B7" s="1" t="s">
        <v>8</v>
      </c>
      <c r="C7" s="1">
        <v>496.03</v>
      </c>
      <c r="D7" s="1">
        <v>1870</v>
      </c>
    </row>
    <row r="8" spans="1:9" x14ac:dyDescent="0.3">
      <c r="A8" s="1">
        <v>6</v>
      </c>
      <c r="B8" s="1" t="s">
        <v>9</v>
      </c>
      <c r="C8" s="1">
        <v>491.6</v>
      </c>
      <c r="D8" s="1">
        <v>1842</v>
      </c>
    </row>
    <row r="9" spans="1:9" x14ac:dyDescent="0.3">
      <c r="A9" s="1">
        <v>7</v>
      </c>
      <c r="B9" s="1" t="s">
        <v>7</v>
      </c>
      <c r="C9" s="1">
        <v>435.83</v>
      </c>
      <c r="D9" s="1">
        <v>1172</v>
      </c>
    </row>
    <row r="10" spans="1:9" x14ac:dyDescent="0.3">
      <c r="A10" s="1">
        <v>8</v>
      </c>
      <c r="B10" s="1" t="s">
        <v>6</v>
      </c>
      <c r="C10" s="1">
        <v>407.78</v>
      </c>
      <c r="D10" s="1">
        <v>669</v>
      </c>
    </row>
    <row r="11" spans="1:9" x14ac:dyDescent="0.3">
      <c r="A11" s="1">
        <v>9</v>
      </c>
      <c r="B11" s="1" t="s">
        <v>5</v>
      </c>
      <c r="C11" s="1">
        <v>404.65</v>
      </c>
      <c r="D11" s="1">
        <v>603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00C5-1FB1-4846-ABED-BE2AA0EB7279}">
  <dimension ref="A1:F4"/>
  <sheetViews>
    <sheetView workbookViewId="0">
      <selection activeCell="H11" sqref="H11"/>
    </sheetView>
  </sheetViews>
  <sheetFormatPr defaultRowHeight="14.4" x14ac:dyDescent="0.3"/>
  <cols>
    <col min="1" max="1" width="3" bestFit="1" customWidth="1"/>
    <col min="2" max="2" width="12" bestFit="1" customWidth="1"/>
    <col min="3" max="3" width="16.5546875" bestFit="1" customWidth="1"/>
    <col min="4" max="4" width="16" bestFit="1" customWidth="1"/>
    <col min="5" max="5" width="30.21875" bestFit="1" customWidth="1"/>
    <col min="6" max="6" width="3.88671875" customWidth="1"/>
  </cols>
  <sheetData>
    <row r="1" spans="1:6" x14ac:dyDescent="0.3">
      <c r="A1" t="s">
        <v>3</v>
      </c>
      <c r="B1" t="s">
        <v>13</v>
      </c>
      <c r="C1" t="s">
        <v>14</v>
      </c>
      <c r="D1" t="s">
        <v>1</v>
      </c>
      <c r="E1" t="s">
        <v>26</v>
      </c>
      <c r="F1" t="s">
        <v>27</v>
      </c>
    </row>
    <row r="2" spans="1:6" x14ac:dyDescent="0.3">
      <c r="A2">
        <v>1</v>
      </c>
      <c r="B2" t="s">
        <v>15</v>
      </c>
      <c r="C2">
        <f>2800-32</f>
        <v>2768</v>
      </c>
      <c r="D2">
        <v>658</v>
      </c>
      <c r="E2">
        <f>(1/D2)/(1/4-1/Водород!F2^2)*10^5</f>
        <v>1094.224924012158</v>
      </c>
      <c r="F2">
        <v>3</v>
      </c>
    </row>
    <row r="3" spans="1:6" x14ac:dyDescent="0.3">
      <c r="A3">
        <v>2</v>
      </c>
      <c r="B3" t="s">
        <v>16</v>
      </c>
      <c r="C3">
        <f>1800-16</f>
        <v>1784</v>
      </c>
      <c r="D3">
        <v>485</v>
      </c>
      <c r="E3">
        <f>(1/D3)/(1/4-1/Водород!F3^2)*10^5</f>
        <v>1099.6563573883163</v>
      </c>
      <c r="F3">
        <v>4</v>
      </c>
    </row>
    <row r="4" spans="1:6" x14ac:dyDescent="0.3">
      <c r="A4">
        <v>3</v>
      </c>
      <c r="B4" t="s">
        <v>17</v>
      </c>
      <c r="C4">
        <f>1150-8</f>
        <v>1142</v>
      </c>
      <c r="D4">
        <v>434</v>
      </c>
      <c r="E4">
        <f>(1/D4)/(1/4-1/Водород!F4^2)*10^5</f>
        <v>1097.2130787798992</v>
      </c>
      <c r="F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E262-3B56-4C73-9056-80AE152FA56F}">
  <dimension ref="A1:D9"/>
  <sheetViews>
    <sheetView workbookViewId="0">
      <selection activeCell="F24" sqref="F24"/>
    </sheetView>
  </sheetViews>
  <sheetFormatPr defaultRowHeight="14.4" x14ac:dyDescent="0.3"/>
  <cols>
    <col min="1" max="1" width="3" bestFit="1" customWidth="1"/>
    <col min="2" max="2" width="11" bestFit="1" customWidth="1"/>
    <col min="3" max="3" width="16.5546875" bestFit="1" customWidth="1"/>
    <col min="4" max="4" width="16" bestFit="1" customWidth="1"/>
  </cols>
  <sheetData>
    <row r="1" spans="1:4" x14ac:dyDescent="0.3">
      <c r="A1" t="s">
        <v>3</v>
      </c>
      <c r="B1" t="s">
        <v>13</v>
      </c>
      <c r="C1" t="s">
        <v>14</v>
      </c>
      <c r="D1" t="s">
        <v>1</v>
      </c>
    </row>
    <row r="2" spans="1:4" x14ac:dyDescent="0.3">
      <c r="A2">
        <v>1</v>
      </c>
      <c r="B2" t="s">
        <v>18</v>
      </c>
      <c r="C2">
        <f>2850-28</f>
        <v>2822</v>
      </c>
    </row>
    <row r="3" spans="1:4" x14ac:dyDescent="0.3">
      <c r="A3">
        <v>2</v>
      </c>
      <c r="B3" t="s">
        <v>19</v>
      </c>
      <c r="C3">
        <f>2500-10</f>
        <v>2490</v>
      </c>
    </row>
    <row r="4" spans="1:4" x14ac:dyDescent="0.3">
      <c r="A4">
        <v>3</v>
      </c>
      <c r="B4" t="s">
        <v>20</v>
      </c>
      <c r="C4">
        <f>1956</f>
        <v>1956</v>
      </c>
    </row>
    <row r="5" spans="1:4" x14ac:dyDescent="0.3">
      <c r="A5">
        <v>4</v>
      </c>
      <c r="B5" t="s">
        <v>21</v>
      </c>
      <c r="C5">
        <f>1950-24</f>
        <v>1926</v>
      </c>
    </row>
    <row r="6" spans="1:4" x14ac:dyDescent="0.3">
      <c r="A6">
        <v>5</v>
      </c>
      <c r="B6" t="s">
        <v>22</v>
      </c>
      <c r="C6">
        <f>1850-9</f>
        <v>1841</v>
      </c>
    </row>
    <row r="7" spans="1:4" x14ac:dyDescent="0.3">
      <c r="A7">
        <v>6</v>
      </c>
      <c r="B7" t="s">
        <v>23</v>
      </c>
      <c r="C7">
        <f>1650-22</f>
        <v>1628</v>
      </c>
    </row>
    <row r="8" spans="1:4" x14ac:dyDescent="0.3">
      <c r="A8">
        <v>7</v>
      </c>
      <c r="B8" t="s">
        <v>24</v>
      </c>
      <c r="C8">
        <f>1350-14</f>
        <v>1336</v>
      </c>
    </row>
    <row r="9" spans="1:4" x14ac:dyDescent="0.3">
      <c r="A9">
        <v>8</v>
      </c>
      <c r="B9" t="s">
        <v>25</v>
      </c>
      <c r="C9">
        <f>1250-20</f>
        <v>1230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76AA-A1C4-405C-8FAC-9EF614F08DC6}">
  <dimension ref="A1"/>
  <sheetViews>
    <sheetView tabSelected="1" topLeftCell="A4"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Водород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2025-12-01T07:32:39Z</dcterms:created>
  <dcterms:modified xsi:type="dcterms:W3CDTF">2025-12-01T09:02:30Z</dcterms:modified>
</cp:coreProperties>
</file>