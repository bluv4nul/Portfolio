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Portfolio\2-course\Физика\"/>
    </mc:Choice>
  </mc:AlternateContent>
  <xr:revisionPtr revIDLastSave="0" documentId="8_{463C827F-04CF-4D97-8C94-998271E1EA7B}" xr6:coauthVersionLast="47" xr6:coauthVersionMax="47" xr10:uidLastSave="{00000000-0000-0000-0000-000000000000}"/>
  <bookViews>
    <workbookView xWindow="-108" yWindow="-108" windowWidth="23256" windowHeight="13176" xr2:uid="{DF99B500-B2A2-460D-A4E7-0022C753451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1" l="1"/>
  <c r="J5" i="1"/>
  <c r="J4" i="1"/>
  <c r="I4" i="1"/>
  <c r="I5" i="1"/>
  <c r="I6" i="1"/>
  <c r="I3" i="1"/>
  <c r="J3" i="1" s="1"/>
  <c r="L4" i="1"/>
  <c r="L5" i="1"/>
  <c r="L6" i="1"/>
  <c r="K4" i="1"/>
  <c r="K5" i="1"/>
  <c r="K6" i="1"/>
  <c r="K3" i="1"/>
  <c r="F3" i="1"/>
  <c r="D4" i="1"/>
  <c r="D5" i="1"/>
  <c r="D6" i="1"/>
  <c r="D3" i="1"/>
  <c r="F4" i="1"/>
  <c r="F5" i="1"/>
  <c r="F6" i="1"/>
  <c r="L3" i="1" l="1"/>
</calcChain>
</file>

<file path=xl/sharedStrings.xml><?xml version="1.0" encoding="utf-8"?>
<sst xmlns="http://schemas.openxmlformats.org/spreadsheetml/2006/main" count="12" uniqueCount="12">
  <si>
    <t>I, A</t>
  </si>
  <si>
    <t>U, В</t>
  </si>
  <si>
    <t>W, Вт</t>
  </si>
  <si>
    <t>tя, град</t>
  </si>
  <si>
    <t>Tя, К</t>
  </si>
  <si>
    <t>Т, К</t>
  </si>
  <si>
    <t>a</t>
  </si>
  <si>
    <t>R=W/S, Вт/м^2</t>
  </si>
  <si>
    <t>a*T^4, K^4</t>
  </si>
  <si>
    <t>№</t>
  </si>
  <si>
    <t>S</t>
  </si>
  <si>
    <t>Постоянн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</si>
</sst>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FEBE-3C31-4263-9C83-B92C28B772DB}">
  <dimension ref="A2:L6"/>
  <sheetViews>
    <sheetView tabSelected="1" workbookViewId="0">
      <selection activeCell="Q9" sqref="Q9"/>
    </sheetView>
  </sheetViews>
  <sheetFormatPr defaultRowHeight="14.4" x14ac:dyDescent="0.3"/>
  <cols>
    <col min="9" max="9" width="8.5546875" customWidth="1"/>
    <col min="10" max="10" width="14.5546875" customWidth="1"/>
    <col min="11" max="11" width="11.44140625" customWidth="1"/>
    <col min="12" max="12" width="11.33203125" customWidth="1"/>
  </cols>
  <sheetData>
    <row r="2" spans="1:12" x14ac:dyDescent="0.3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10</v>
      </c>
      <c r="J2" s="1" t="s">
        <v>7</v>
      </c>
      <c r="K2" s="1" t="s">
        <v>8</v>
      </c>
      <c r="L2" s="1" t="s">
        <v>11</v>
      </c>
    </row>
    <row r="3" spans="1:12" x14ac:dyDescent="0.3">
      <c r="A3" s="1">
        <v>1</v>
      </c>
      <c r="B3" s="1">
        <v>11</v>
      </c>
      <c r="C3" s="1">
        <v>2</v>
      </c>
      <c r="D3" s="1">
        <f>B3*C3</f>
        <v>22</v>
      </c>
      <c r="E3" s="1">
        <v>1030</v>
      </c>
      <c r="F3" s="1">
        <f>E3+273</f>
        <v>1303</v>
      </c>
      <c r="G3" s="1">
        <v>1480</v>
      </c>
      <c r="H3" s="1">
        <v>0.22</v>
      </c>
      <c r="I3" s="1">
        <f>4*0.4*10^-4</f>
        <v>1.6000000000000001E-4</v>
      </c>
      <c r="J3" s="1">
        <f>D3/I3</f>
        <v>137500</v>
      </c>
      <c r="K3">
        <f>H3*(F3^4)</f>
        <v>634162188105.81995</v>
      </c>
      <c r="L3">
        <f>D3/(G3^4*I3*H3)</f>
        <v>1.3026662330504157E-7</v>
      </c>
    </row>
    <row r="4" spans="1:12" x14ac:dyDescent="0.3">
      <c r="A4" s="1">
        <v>2</v>
      </c>
      <c r="B4" s="1">
        <v>12</v>
      </c>
      <c r="C4" s="1">
        <v>2.4</v>
      </c>
      <c r="D4" s="1">
        <f t="shared" ref="D4:D6" si="0">B4*C4</f>
        <v>28.799999999999997</v>
      </c>
      <c r="E4" s="1">
        <v>1130</v>
      </c>
      <c r="F4" s="1">
        <f t="shared" ref="F4:F6" si="1">E4+273</f>
        <v>1403</v>
      </c>
      <c r="G4" s="1">
        <v>1550</v>
      </c>
      <c r="H4" s="1">
        <v>0.23599999999999999</v>
      </c>
      <c r="I4" s="1">
        <f t="shared" ref="I4:I6" si="2">4*0.4*10^-4</f>
        <v>1.6000000000000001E-4</v>
      </c>
      <c r="J4" s="1">
        <f>D4/I4</f>
        <v>179999.99999999997</v>
      </c>
      <c r="K4">
        <f t="shared" ref="K4:K6" si="3">H4*(F4^4)</f>
        <v>914413621942.31592</v>
      </c>
      <c r="L4">
        <f t="shared" ref="L4:L6" si="4">D4/(G4^4*I4*H4)</f>
        <v>1.3213981956564574E-7</v>
      </c>
    </row>
    <row r="5" spans="1:12" x14ac:dyDescent="0.3">
      <c r="A5" s="1">
        <v>3</v>
      </c>
      <c r="B5" s="1">
        <v>15</v>
      </c>
      <c r="C5" s="1">
        <v>4</v>
      </c>
      <c r="D5" s="1">
        <f t="shared" si="0"/>
        <v>60</v>
      </c>
      <c r="E5" s="1">
        <v>1400</v>
      </c>
      <c r="F5" s="1">
        <f t="shared" si="1"/>
        <v>1673</v>
      </c>
      <c r="G5" s="1">
        <v>1880</v>
      </c>
      <c r="H5" s="1">
        <v>0.26400000000000001</v>
      </c>
      <c r="I5" s="1">
        <f t="shared" si="2"/>
        <v>1.6000000000000001E-4</v>
      </c>
      <c r="J5" s="1">
        <f>D5/I5</f>
        <v>374999.99999999994</v>
      </c>
      <c r="K5">
        <f t="shared" si="3"/>
        <v>2068176936418.8242</v>
      </c>
      <c r="L5">
        <f t="shared" si="4"/>
        <v>1.1370928895109778E-7</v>
      </c>
    </row>
    <row r="6" spans="1:12" x14ac:dyDescent="0.3">
      <c r="A6" s="1">
        <v>4</v>
      </c>
      <c r="B6" s="1">
        <v>17</v>
      </c>
      <c r="C6" s="1">
        <v>5</v>
      </c>
      <c r="D6" s="1">
        <f t="shared" si="0"/>
        <v>85</v>
      </c>
      <c r="E6" s="1">
        <v>1520</v>
      </c>
      <c r="F6" s="1">
        <f t="shared" si="1"/>
        <v>1793</v>
      </c>
      <c r="G6" s="1">
        <v>2000</v>
      </c>
      <c r="H6" s="1">
        <v>0.27200000000000002</v>
      </c>
      <c r="I6" s="1">
        <f t="shared" si="2"/>
        <v>1.6000000000000001E-4</v>
      </c>
      <c r="J6" s="1">
        <f>D6/I6</f>
        <v>531250</v>
      </c>
      <c r="K6">
        <f t="shared" si="3"/>
        <v>2811189113241.8721</v>
      </c>
      <c r="L6">
        <f t="shared" si="4"/>
        <v>1.220703125E-7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Froliv</dc:creator>
  <cp:lastModifiedBy>Andrew Froliv</cp:lastModifiedBy>
  <dcterms:created xsi:type="dcterms:W3CDTF">2025-12-01T09:04:21Z</dcterms:created>
  <dcterms:modified xsi:type="dcterms:W3CDTF">2025-12-01T09:55:49Z</dcterms:modified>
</cp:coreProperties>
</file>