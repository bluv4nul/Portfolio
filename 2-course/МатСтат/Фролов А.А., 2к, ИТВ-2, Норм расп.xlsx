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andre\Desktop\Portfolio\2-course\МатСтат\"/>
    </mc:Choice>
  </mc:AlternateContent>
  <xr:revisionPtr revIDLastSave="0" documentId="8_{8141A8B5-4625-4227-96E2-E981A5EF9D3A}" xr6:coauthVersionLast="47" xr6:coauthVersionMax="47" xr10:uidLastSave="{00000000-0000-0000-0000-000000000000}"/>
  <bookViews>
    <workbookView xWindow="-108" yWindow="120" windowWidth="20712" windowHeight="11004" activeTab="1" xr2:uid="{27A1C7E0-8802-4A9F-8FE2-2FC45B0BA60D}"/>
  </bookViews>
  <sheets>
    <sheet name="Инд. Зад." sheetId="1" r:id="rId1"/>
    <sheet name="Зад. с пары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I21" i="2" l="1"/>
  <c r="K9" i="2"/>
  <c r="K10" i="2" s="1"/>
  <c r="K11" i="2" s="1"/>
  <c r="K12" i="2" s="1"/>
  <c r="K13" i="2" s="1"/>
  <c r="K14" i="2" s="1"/>
  <c r="K15" i="2" s="1"/>
  <c r="K8" i="2"/>
  <c r="J15" i="2"/>
  <c r="J16" i="2"/>
  <c r="J17" i="2"/>
  <c r="J18" i="2"/>
  <c r="J19" i="2"/>
  <c r="J20" i="2" s="1"/>
  <c r="F20" i="2"/>
  <c r="F15" i="2"/>
  <c r="F16" i="2"/>
  <c r="F17" i="2"/>
  <c r="F18" i="2"/>
  <c r="F19" i="2"/>
  <c r="F8" i="2"/>
  <c r="F9" i="2"/>
  <c r="F10" i="2"/>
  <c r="F11" i="2"/>
  <c r="F12" i="2"/>
  <c r="F13" i="2"/>
  <c r="F14" i="2"/>
  <c r="C23" i="2"/>
  <c r="G19" i="2" s="1"/>
  <c r="H19" i="2" s="1"/>
  <c r="I19" i="2" s="1"/>
  <c r="G20" i="2"/>
  <c r="H20" i="2" s="1"/>
  <c r="I20" i="2" s="1"/>
  <c r="G18" i="2"/>
  <c r="H18" i="2" s="1"/>
  <c r="I18" i="2" s="1"/>
  <c r="G17" i="2"/>
  <c r="H17" i="2" s="1"/>
  <c r="I17" i="2" s="1"/>
  <c r="G16" i="2"/>
  <c r="H16" i="2" s="1"/>
  <c r="I16" i="2" s="1"/>
  <c r="G15" i="2"/>
  <c r="H15" i="2" s="1"/>
  <c r="I15" i="2" s="1"/>
  <c r="C21" i="2"/>
  <c r="G14" i="2"/>
  <c r="H14" i="2" s="1"/>
  <c r="I14" i="2" s="1"/>
  <c r="G13" i="2"/>
  <c r="H13" i="2" s="1"/>
  <c r="I13" i="2" s="1"/>
  <c r="G12" i="2"/>
  <c r="H12" i="2" s="1"/>
  <c r="I12" i="2" s="1"/>
  <c r="G11" i="2"/>
  <c r="H11" i="2" s="1"/>
  <c r="I11" i="2" s="1"/>
  <c r="G10" i="2"/>
  <c r="H10" i="2" s="1"/>
  <c r="I10" i="2" s="1"/>
  <c r="G9" i="2"/>
  <c r="H9" i="2" s="1"/>
  <c r="I9" i="2" s="1"/>
  <c r="G8" i="2"/>
  <c r="H8" i="2" s="1"/>
  <c r="I8" i="2" s="1"/>
  <c r="J7" i="2"/>
  <c r="G7" i="2"/>
  <c r="H7" i="2" s="1"/>
  <c r="I7" i="2" s="1"/>
  <c r="F7" i="2"/>
  <c r="L15" i="2" l="1"/>
  <c r="K16" i="2"/>
  <c r="K7" i="2"/>
  <c r="J8" i="2"/>
  <c r="L16" i="2" l="1"/>
  <c r="K17" i="2"/>
  <c r="L7" i="2"/>
  <c r="J9" i="2"/>
  <c r="K18" i="2" l="1"/>
  <c r="L17" i="2"/>
  <c r="L8" i="2"/>
  <c r="L9" i="2"/>
  <c r="J10" i="2"/>
  <c r="L18" i="2" l="1"/>
  <c r="K19" i="2"/>
  <c r="L10" i="2"/>
  <c r="J11" i="2"/>
  <c r="L19" i="2" l="1"/>
  <c r="K20" i="2"/>
  <c r="L20" i="2" s="1"/>
  <c r="L11" i="2"/>
  <c r="J12" i="2"/>
  <c r="L12" i="2" l="1"/>
  <c r="J13" i="2"/>
  <c r="J14" i="2" l="1"/>
  <c r="L14" i="2" s="1"/>
  <c r="L13" i="2"/>
  <c r="F7" i="1"/>
  <c r="J7" i="1"/>
  <c r="J8" i="1" s="1"/>
  <c r="F8" i="1"/>
  <c r="F9" i="1"/>
  <c r="F10" i="1"/>
  <c r="F11" i="1"/>
  <c r="F12" i="1"/>
  <c r="F13" i="1"/>
  <c r="F14" i="1"/>
  <c r="C17" i="1"/>
  <c r="G10" i="1" s="1"/>
  <c r="H10" i="1" s="1"/>
  <c r="C15" i="1"/>
  <c r="L22" i="2" l="1"/>
  <c r="L23" i="2" s="1"/>
  <c r="G9" i="1"/>
  <c r="H9" i="1" s="1"/>
  <c r="I9" i="1" s="1"/>
  <c r="I10" i="1"/>
  <c r="G8" i="1"/>
  <c r="H8" i="1" s="1"/>
  <c r="I8" i="1" s="1"/>
  <c r="G7" i="1"/>
  <c r="H7" i="1" s="1"/>
  <c r="I7" i="1" s="1"/>
  <c r="K7" i="1" s="1"/>
  <c r="L7" i="1" s="1"/>
  <c r="G11" i="1"/>
  <c r="H11" i="1" s="1"/>
  <c r="I11" i="1" s="1"/>
  <c r="G14" i="1"/>
  <c r="H14" i="1" s="1"/>
  <c r="I14" i="1" s="1"/>
  <c r="G13" i="1"/>
  <c r="H13" i="1" s="1"/>
  <c r="I13" i="1" s="1"/>
  <c r="G12" i="1"/>
  <c r="H12" i="1" s="1"/>
  <c r="I12" i="1" s="1"/>
  <c r="I15" i="1" l="1"/>
  <c r="K8" i="1"/>
  <c r="K9" i="1" s="1"/>
  <c r="K10" i="1" s="1"/>
  <c r="K11" i="1" s="1"/>
  <c r="K12" i="1" s="1"/>
  <c r="K13" i="1" s="1"/>
  <c r="K14" i="1" s="1"/>
  <c r="J9" i="1" l="1"/>
  <c r="L8" i="1" l="1"/>
  <c r="L9" i="1"/>
  <c r="J10" i="1"/>
  <c r="L10" i="1" l="1"/>
  <c r="J11" i="1"/>
  <c r="J12" i="1" l="1"/>
  <c r="L11" i="1"/>
  <c r="J13" i="1" l="1"/>
  <c r="J14" i="1" s="1"/>
  <c r="L12" i="1"/>
  <c r="L14" i="1" l="1"/>
  <c r="L13" i="1"/>
  <c r="L16" i="1" l="1"/>
  <c r="L17" i="1" s="1"/>
</calcChain>
</file>

<file path=xl/sharedStrings.xml><?xml version="1.0" encoding="utf-8"?>
<sst xmlns="http://schemas.openxmlformats.org/spreadsheetml/2006/main" count="58" uniqueCount="39">
  <si>
    <t>p</t>
  </si>
  <si>
    <t>e</t>
  </si>
  <si>
    <t>ср знач</t>
  </si>
  <si>
    <t>Середина интервала x_i</t>
  </si>
  <si>
    <t>t_i</t>
  </si>
  <si>
    <t>ср отклон</t>
  </si>
  <si>
    <t>(x_i - ср знач)^2</t>
  </si>
  <si>
    <t>фи(t)</t>
  </si>
  <si>
    <t>Итого</t>
  </si>
  <si>
    <t>Теор. Част. fm</t>
  </si>
  <si>
    <t>Накопл. Эмпир. Част.  Fi</t>
  </si>
  <si>
    <t>Накопл. Теор. Част.  Fm</t>
  </si>
  <si>
    <t>D_i</t>
  </si>
  <si>
    <t>D_max</t>
  </si>
  <si>
    <t>alpha</t>
  </si>
  <si>
    <t>37-41,5</t>
  </si>
  <si>
    <t>41,5-46</t>
  </si>
  <si>
    <t>46-50,5</t>
  </si>
  <si>
    <t>50,5-55</t>
  </si>
  <si>
    <t>55-59,5</t>
  </si>
  <si>
    <t>59,5 - 64</t>
  </si>
  <si>
    <t>64 - 68,5</t>
  </si>
  <si>
    <t>68,5-73</t>
  </si>
  <si>
    <t>Интервал</t>
  </si>
  <si>
    <t>Кол-во f_i</t>
  </si>
  <si>
    <t>30-40</t>
  </si>
  <si>
    <t>40-50</t>
  </si>
  <si>
    <t>50-60</t>
  </si>
  <si>
    <t>60-70</t>
  </si>
  <si>
    <t>70-80</t>
  </si>
  <si>
    <t>80-90</t>
  </si>
  <si>
    <t>90-100</t>
  </si>
  <si>
    <t>100-110</t>
  </si>
  <si>
    <t>110-120</t>
  </si>
  <si>
    <t>120-130</t>
  </si>
  <si>
    <t>130-140</t>
  </si>
  <si>
    <t>140-150</t>
  </si>
  <si>
    <t>150-160</t>
  </si>
  <si>
    <t>160-170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</si>
</sst>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0"/>
    <numFmt numFmtId="170" formatCode="0.0"/>
  </numFmts>
  <fonts count="3">
    <font>
      <sz val="11"/>
      <color theme="1"/>
      <name val="Aptos Narrow"/>
      <family val="2"/>
      <charset val="204"/>
      <scheme val="minor"/>
    </font>
    <font>
      <sz val="10"/>
      <color theme="1"/>
      <name val="Open Sans SemiBold"/>
      <charset val="204"/>
    </font>
    <font>
      <sz val="8"/>
      <name val="Aptos Narrow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</fills>
  <borders count="15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</borders>
  <cellStyleXfs count="1">
    <xf numFmtId="0" fontId="0" fillId="0" borderId="0"/>
  </cellStyleXfs>
  <cellXfs count="36">
    <xf numFmtId="0" fontId="0" fillId="0" borderId="0" xfId="0"/>
    <xf numFmtId="0" fontId="1" fillId="2" borderId="7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12" xfId="0" applyFont="1" applyFill="1" applyBorder="1" applyAlignment="1">
      <alignment horizontal="center"/>
    </xf>
    <xf numFmtId="2" fontId="1" fillId="3" borderId="12" xfId="0" applyNumberFormat="1" applyFont="1" applyFill="1" applyBorder="1" applyAlignment="1">
      <alignment horizontal="center"/>
    </xf>
    <xf numFmtId="1" fontId="1" fillId="3" borderId="12" xfId="0" applyNumberFormat="1" applyFont="1" applyFill="1" applyBorder="1" applyAlignment="1">
      <alignment horizontal="center"/>
    </xf>
    <xf numFmtId="1" fontId="1" fillId="3" borderId="3" xfId="0" applyNumberFormat="1" applyFont="1" applyFill="1" applyBorder="1" applyAlignment="1">
      <alignment horizontal="center"/>
    </xf>
    <xf numFmtId="0" fontId="1" fillId="3" borderId="13" xfId="0" applyFont="1" applyFill="1" applyBorder="1" applyAlignment="1">
      <alignment horizontal="center"/>
    </xf>
    <xf numFmtId="2" fontId="1" fillId="3" borderId="13" xfId="0" applyNumberFormat="1" applyFont="1" applyFill="1" applyBorder="1" applyAlignment="1">
      <alignment horizontal="center"/>
    </xf>
    <xf numFmtId="1" fontId="1" fillId="3" borderId="13" xfId="0" applyNumberFormat="1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1" fillId="3" borderId="14" xfId="0" applyFont="1" applyFill="1" applyBorder="1" applyAlignment="1">
      <alignment horizontal="center"/>
    </xf>
    <xf numFmtId="0" fontId="1" fillId="3" borderId="5" xfId="0" applyFont="1" applyFill="1" applyBorder="1" applyAlignment="1">
      <alignment horizontal="center"/>
    </xf>
    <xf numFmtId="2" fontId="1" fillId="3" borderId="14" xfId="0" applyNumberFormat="1" applyFont="1" applyFill="1" applyBorder="1" applyAlignment="1">
      <alignment horizontal="center"/>
    </xf>
    <xf numFmtId="164" fontId="1" fillId="3" borderId="5" xfId="0" applyNumberFormat="1" applyFont="1" applyFill="1" applyBorder="1" applyAlignment="1">
      <alignment horizontal="center"/>
    </xf>
    <xf numFmtId="1" fontId="1" fillId="3" borderId="14" xfId="0" applyNumberFormat="1" applyFont="1" applyFill="1" applyBorder="1" applyAlignment="1">
      <alignment horizontal="center"/>
    </xf>
    <xf numFmtId="1" fontId="1" fillId="3" borderId="5" xfId="0" applyNumberFormat="1" applyFont="1" applyFill="1" applyBorder="1" applyAlignment="1">
      <alignment horizontal="center"/>
    </xf>
    <xf numFmtId="1" fontId="1" fillId="3" borderId="6" xfId="0" applyNumberFormat="1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1" fillId="3" borderId="6" xfId="0" applyFont="1" applyFill="1" applyBorder="1" applyAlignment="1">
      <alignment horizontal="center"/>
    </xf>
    <xf numFmtId="1" fontId="1" fillId="3" borderId="1" xfId="0" applyNumberFormat="1" applyFont="1" applyFill="1" applyBorder="1" applyAlignment="1">
      <alignment horizontal="center"/>
    </xf>
    <xf numFmtId="2" fontId="1" fillId="3" borderId="6" xfId="0" applyNumberFormat="1" applyFont="1" applyFill="1" applyBorder="1" applyAlignment="1">
      <alignment horizontal="center"/>
    </xf>
    <xf numFmtId="0" fontId="1" fillId="5" borderId="0" xfId="0" applyFont="1" applyFill="1" applyAlignment="1">
      <alignment horizontal="center"/>
    </xf>
    <xf numFmtId="0" fontId="1" fillId="4" borderId="11" xfId="0" applyFont="1" applyFill="1" applyBorder="1" applyAlignment="1">
      <alignment horizontal="center"/>
    </xf>
    <xf numFmtId="1" fontId="1" fillId="4" borderId="11" xfId="0" applyNumberFormat="1" applyFont="1" applyFill="1" applyBorder="1" applyAlignment="1">
      <alignment horizontal="center"/>
    </xf>
    <xf numFmtId="0" fontId="1" fillId="3" borderId="0" xfId="0" applyFont="1" applyFill="1" applyBorder="1" applyAlignment="1">
      <alignment horizontal="center"/>
    </xf>
    <xf numFmtId="164" fontId="1" fillId="3" borderId="0" xfId="0" applyNumberFormat="1" applyFont="1" applyFill="1" applyBorder="1" applyAlignment="1">
      <alignment horizontal="center"/>
    </xf>
    <xf numFmtId="1" fontId="1" fillId="3" borderId="0" xfId="0" applyNumberFormat="1" applyFont="1" applyFill="1" applyBorder="1" applyAlignment="1">
      <alignment horizontal="center"/>
    </xf>
    <xf numFmtId="0" fontId="0" fillId="0" borderId="0" xfId="0" applyAlignment="1">
      <alignment horizontal="center"/>
    </xf>
    <xf numFmtId="2" fontId="0" fillId="0" borderId="0" xfId="0" applyNumberFormat="1" applyAlignment="1">
      <alignment horizontal="center"/>
    </xf>
    <xf numFmtId="170" fontId="0" fillId="0" borderId="0" xfId="0" applyNumberFormat="1" applyAlignment="1">
      <alignment horizontal="center"/>
    </xf>
    <xf numFmtId="1" fontId="0" fillId="0" borderId="0" xfId="0" applyNumberFormat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7B75A-E914-4B28-8264-0DD9E9E58F3A}">
  <dimension ref="B1:L18"/>
  <sheetViews>
    <sheetView zoomScale="70" zoomScaleNormal="70" workbookViewId="0">
      <selection activeCell="B2" sqref="B2:L18"/>
    </sheetView>
  </sheetViews>
  <sheetFormatPr defaultColWidth="9.09765625" defaultRowHeight="16.2"/>
  <cols>
    <col min="1" max="1" width="9.09765625" style="26"/>
    <col min="2" max="2" width="14.296875" style="26" bestFit="1" customWidth="1"/>
    <col min="3" max="3" width="23.69921875" style="26" bestFit="1" customWidth="1"/>
    <col min="4" max="4" width="23.8984375" style="26" bestFit="1" customWidth="1"/>
    <col min="5" max="5" width="12.296875" style="26" bestFit="1" customWidth="1"/>
    <col min="6" max="6" width="15.296875" style="26" bestFit="1" customWidth="1"/>
    <col min="7" max="7" width="6.09765625" style="26" customWidth="1"/>
    <col min="8" max="8" width="6.69921875" style="26" bestFit="1" customWidth="1"/>
    <col min="9" max="9" width="14.296875" style="26" bestFit="1" customWidth="1"/>
    <col min="10" max="10" width="24" style="26" bestFit="1" customWidth="1"/>
    <col min="11" max="11" width="23.296875" style="26" bestFit="1" customWidth="1"/>
    <col min="12" max="12" width="8.69921875" style="26" customWidth="1"/>
    <col min="13" max="16384" width="9.09765625" style="26"/>
  </cols>
  <sheetData>
    <row r="1" spans="2:12" ht="16.8" thickBot="1"/>
    <row r="2" spans="2:12">
      <c r="B2" s="20" t="s">
        <v>0</v>
      </c>
      <c r="C2" s="22">
        <v>3.1415000000000002</v>
      </c>
    </row>
    <row r="3" spans="2:12" ht="16.8" thickBot="1">
      <c r="B3" s="21" t="s">
        <v>1</v>
      </c>
      <c r="C3" s="23">
        <v>2.7181999999999999</v>
      </c>
    </row>
    <row r="5" spans="2:12" ht="16.8" thickBot="1"/>
    <row r="6" spans="2:12" ht="16.8" thickBot="1">
      <c r="B6" s="1" t="s">
        <v>23</v>
      </c>
      <c r="C6" s="2" t="s">
        <v>24</v>
      </c>
      <c r="D6" s="2" t="s">
        <v>3</v>
      </c>
      <c r="E6" s="2" t="s">
        <v>2</v>
      </c>
      <c r="F6" s="2" t="s">
        <v>6</v>
      </c>
      <c r="G6" s="2" t="s">
        <v>4</v>
      </c>
      <c r="H6" s="2" t="s">
        <v>7</v>
      </c>
      <c r="I6" s="2" t="s">
        <v>9</v>
      </c>
      <c r="J6" s="2" t="s">
        <v>10</v>
      </c>
      <c r="K6" s="2" t="s">
        <v>11</v>
      </c>
      <c r="L6" s="3" t="s">
        <v>12</v>
      </c>
    </row>
    <row r="7" spans="2:12">
      <c r="B7" s="4" t="s">
        <v>15</v>
      </c>
      <c r="C7" s="5">
        <v>5</v>
      </c>
      <c r="D7" s="29">
        <v>39.25</v>
      </c>
      <c r="E7" s="5">
        <v>55.3</v>
      </c>
      <c r="F7" s="29">
        <f>(D7-E7)^2</f>
        <v>257.60249999999991</v>
      </c>
      <c r="G7" s="6">
        <f>(D7-$C$17)/$C$18</f>
        <v>-1.8259385665529009</v>
      </c>
      <c r="H7" s="30">
        <f>($C$3^(-(G7^2)/2))/SQRT(2*$C$2)</f>
        <v>7.5328296752829843E-2</v>
      </c>
      <c r="I7" s="7">
        <f>H7*(($C$15*4.5)/($C$18))</f>
        <v>3.8563974446841223</v>
      </c>
      <c r="J7" s="31">
        <f>C7</f>
        <v>5</v>
      </c>
      <c r="K7" s="7">
        <f>I7</f>
        <v>3.8563974446841223</v>
      </c>
      <c r="L7" s="8">
        <f>ABS(J7-K7)</f>
        <v>1.1436025553158777</v>
      </c>
    </row>
    <row r="8" spans="2:12">
      <c r="B8" s="4" t="s">
        <v>16</v>
      </c>
      <c r="C8" s="9">
        <v>11</v>
      </c>
      <c r="D8" s="29">
        <v>43.75</v>
      </c>
      <c r="E8" s="9">
        <v>55.3</v>
      </c>
      <c r="F8" s="29">
        <f t="shared" ref="F8:F14" si="0">(D8-E8)^2</f>
        <v>133.40249999999995</v>
      </c>
      <c r="G8" s="10">
        <f>(D8-$C$17)/$C$18</f>
        <v>-1.3139931740614332</v>
      </c>
      <c r="H8" s="30">
        <f t="shared" ref="H8:H14" si="1">($C$3^(-(G8^2)/2))/SQRT(2*$C$2)</f>
        <v>0.16826976733843654</v>
      </c>
      <c r="I8" s="11">
        <f>H8*(($C$15*4.5)/($C$18))</f>
        <v>8.6144932084523838</v>
      </c>
      <c r="J8" s="31">
        <f>J7+C8</f>
        <v>16</v>
      </c>
      <c r="K8" s="11">
        <f>K7+I8</f>
        <v>12.470890653136506</v>
      </c>
      <c r="L8" s="8">
        <f t="shared" ref="L8:L14" si="2">ABS(J8-K8)</f>
        <v>3.5291093468634944</v>
      </c>
    </row>
    <row r="9" spans="2:12">
      <c r="B9" s="4" t="s">
        <v>17</v>
      </c>
      <c r="C9" s="9">
        <v>18</v>
      </c>
      <c r="D9" s="29">
        <v>48.25</v>
      </c>
      <c r="E9" s="9">
        <v>55.3</v>
      </c>
      <c r="F9" s="29">
        <f t="shared" si="0"/>
        <v>49.702499999999958</v>
      </c>
      <c r="G9" s="10">
        <f>(D9-$C$17)/$C$18</f>
        <v>-0.80204778156996559</v>
      </c>
      <c r="H9" s="30">
        <f t="shared" si="1"/>
        <v>0.28922382021978632</v>
      </c>
      <c r="I9" s="11">
        <f>H9*(($C$15*4.5)/($C$18))</f>
        <v>14.806680216030019</v>
      </c>
      <c r="J9" s="31">
        <f t="shared" ref="J9:J13" si="3">J8+C9</f>
        <v>34</v>
      </c>
      <c r="K9" s="11">
        <f t="shared" ref="K9:K13" si="4">K8+I9</f>
        <v>27.277570869166524</v>
      </c>
      <c r="L9" s="8">
        <f t="shared" si="2"/>
        <v>6.7224291308334756</v>
      </c>
    </row>
    <row r="10" spans="2:12">
      <c r="B10" s="4" t="s">
        <v>18</v>
      </c>
      <c r="C10" s="9">
        <v>13</v>
      </c>
      <c r="D10" s="29">
        <v>52.75</v>
      </c>
      <c r="E10" s="9">
        <v>55.3</v>
      </c>
      <c r="F10" s="29">
        <f t="shared" si="0"/>
        <v>6.5024999999999853</v>
      </c>
      <c r="G10" s="10">
        <f>(D10-$C$17)/$C$18</f>
        <v>-0.290102389078498</v>
      </c>
      <c r="H10" s="30">
        <f t="shared" si="1"/>
        <v>0.38250933604968412</v>
      </c>
      <c r="I10" s="11">
        <f>H10*(($C$15*4.5)/($C$18))</f>
        <v>19.582389217560625</v>
      </c>
      <c r="J10" s="31">
        <f t="shared" si="3"/>
        <v>47</v>
      </c>
      <c r="K10" s="11">
        <f t="shared" si="4"/>
        <v>46.859960086727149</v>
      </c>
      <c r="L10" s="8">
        <f t="shared" si="2"/>
        <v>0.14003991327285092</v>
      </c>
    </row>
    <row r="11" spans="2:12">
      <c r="B11" s="4" t="s">
        <v>19</v>
      </c>
      <c r="C11" s="9">
        <v>21</v>
      </c>
      <c r="D11" s="29">
        <v>57.25</v>
      </c>
      <c r="E11" s="9">
        <v>55.3</v>
      </c>
      <c r="F11" s="29">
        <f t="shared" si="0"/>
        <v>3.8025000000000109</v>
      </c>
      <c r="G11" s="10">
        <f>(D11-$C$17)/$C$18</f>
        <v>0.22184300341296964</v>
      </c>
      <c r="H11" s="30">
        <f t="shared" si="1"/>
        <v>0.38925127021693151</v>
      </c>
      <c r="I11" s="11">
        <f>H11*(($C$15*4.5)/($C$18))</f>
        <v>19.927539430900932</v>
      </c>
      <c r="J11" s="31">
        <f t="shared" si="3"/>
        <v>68</v>
      </c>
      <c r="K11" s="11">
        <f t="shared" si="4"/>
        <v>66.787499517628078</v>
      </c>
      <c r="L11" s="8">
        <f t="shared" si="2"/>
        <v>1.2125004823719223</v>
      </c>
    </row>
    <row r="12" spans="2:12">
      <c r="B12" s="4" t="s">
        <v>20</v>
      </c>
      <c r="C12" s="9">
        <v>13</v>
      </c>
      <c r="D12" s="29">
        <v>61.75</v>
      </c>
      <c r="E12" s="9">
        <v>55.3</v>
      </c>
      <c r="F12" s="29">
        <f t="shared" si="0"/>
        <v>41.602500000000035</v>
      </c>
      <c r="G12" s="10">
        <f>(D12-$C$17)/$C$18</f>
        <v>0.73378839590443723</v>
      </c>
      <c r="H12" s="30">
        <f t="shared" si="1"/>
        <v>0.30478813376117148</v>
      </c>
      <c r="I12" s="11">
        <f>H12*(($C$15*4.5)/($C$18))</f>
        <v>15.603488076510487</v>
      </c>
      <c r="J12" s="31">
        <f t="shared" si="3"/>
        <v>81</v>
      </c>
      <c r="K12" s="11">
        <f t="shared" si="4"/>
        <v>82.390987594138565</v>
      </c>
      <c r="L12" s="8">
        <f t="shared" si="2"/>
        <v>1.390987594138565</v>
      </c>
    </row>
    <row r="13" spans="2:12">
      <c r="B13" s="4" t="s">
        <v>21</v>
      </c>
      <c r="C13" s="9">
        <v>11</v>
      </c>
      <c r="D13" s="29">
        <v>66.25</v>
      </c>
      <c r="E13" s="9">
        <v>55.3</v>
      </c>
      <c r="F13" s="29">
        <f t="shared" si="0"/>
        <v>119.90250000000006</v>
      </c>
      <c r="G13" s="10">
        <f>(D13-$C$17)/$C$18</f>
        <v>1.245733788395905</v>
      </c>
      <c r="H13" s="30">
        <f t="shared" si="1"/>
        <v>0.18363103770214753</v>
      </c>
      <c r="I13" s="11">
        <f>H13*(($C$15*4.5)/($C$18))</f>
        <v>9.4009063670041417</v>
      </c>
      <c r="J13" s="31">
        <f t="shared" si="3"/>
        <v>92</v>
      </c>
      <c r="K13" s="11">
        <f t="shared" si="4"/>
        <v>91.791893961142705</v>
      </c>
      <c r="L13" s="8">
        <f t="shared" si="2"/>
        <v>0.20810603885729506</v>
      </c>
    </row>
    <row r="14" spans="2:12" ht="16.8" thickBot="1">
      <c r="B14" s="12" t="s">
        <v>22</v>
      </c>
      <c r="C14" s="13">
        <v>8</v>
      </c>
      <c r="D14" s="14">
        <v>70.75</v>
      </c>
      <c r="E14" s="13">
        <v>55.3</v>
      </c>
      <c r="F14" s="14">
        <f t="shared" si="0"/>
        <v>238.7025000000001</v>
      </c>
      <c r="G14" s="15">
        <f>(D14-$C$17)/$C$18</f>
        <v>1.7576791808873724</v>
      </c>
      <c r="H14" s="16">
        <f t="shared" si="1"/>
        <v>8.5128335066961505E-2</v>
      </c>
      <c r="I14" s="17">
        <f>H14*(($C$15*4.5)/($C$18))</f>
        <v>4.3581058908000774</v>
      </c>
      <c r="J14" s="18">
        <f>J13+C14</f>
        <v>100</v>
      </c>
      <c r="K14" s="17">
        <f>K13+I14</f>
        <v>96.149999851942781</v>
      </c>
      <c r="L14" s="19">
        <f t="shared" si="2"/>
        <v>3.8500001480572195</v>
      </c>
    </row>
    <row r="15" spans="2:12" ht="16.8" thickBot="1">
      <c r="B15" s="21" t="s">
        <v>8</v>
      </c>
      <c r="C15" s="27">
        <f>SUM(C7:C14)</f>
        <v>100</v>
      </c>
      <c r="I15" s="28">
        <f>SUM(I7:I14)</f>
        <v>96.149999851942781</v>
      </c>
    </row>
    <row r="16" spans="2:12" ht="16.8" thickBot="1">
      <c r="K16" s="20" t="s">
        <v>13</v>
      </c>
      <c r="L16" s="24">
        <f>MAX(L7:L14)</f>
        <v>6.7224291308334756</v>
      </c>
    </row>
    <row r="17" spans="2:12" ht="16.8" thickBot="1">
      <c r="B17" s="20" t="s">
        <v>2</v>
      </c>
      <c r="C17" s="22">
        <f>55.3</f>
        <v>55.3</v>
      </c>
      <c r="K17" s="21" t="s">
        <v>14</v>
      </c>
      <c r="L17" s="25">
        <f>L16/10</f>
        <v>0.6722429130833476</v>
      </c>
    </row>
    <row r="18" spans="2:12" ht="16.8" thickBot="1">
      <c r="B18" s="21" t="s">
        <v>5</v>
      </c>
      <c r="C18" s="23">
        <v>8.7899999999999991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3D8B4-772D-464C-8AC2-98D05D3F26FF}">
  <dimension ref="B2:L24"/>
  <sheetViews>
    <sheetView tabSelected="1" zoomScale="58" workbookViewId="0">
      <selection activeCell="I40" sqref="I40"/>
    </sheetView>
  </sheetViews>
  <sheetFormatPr defaultRowHeight="13.8"/>
  <cols>
    <col min="2" max="2" width="9.09765625" bestFit="1" customWidth="1"/>
    <col min="3" max="3" width="9" bestFit="1" customWidth="1"/>
    <col min="4" max="4" width="21.69921875" bestFit="1" customWidth="1"/>
    <col min="5" max="5" width="7" bestFit="1" customWidth="1"/>
    <col min="6" max="6" width="13.796875" bestFit="1" customWidth="1"/>
    <col min="7" max="7" width="12.5" bestFit="1" customWidth="1"/>
    <col min="8" max="8" width="11.8984375" bestFit="1" customWidth="1"/>
    <col min="9" max="9" width="13" bestFit="1" customWidth="1"/>
    <col min="10" max="10" width="21.796875" bestFit="1" customWidth="1"/>
    <col min="11" max="11" width="21.5" bestFit="1" customWidth="1"/>
    <col min="12" max="12" width="11.8984375" bestFit="1" customWidth="1"/>
  </cols>
  <sheetData>
    <row r="2" spans="2:12">
      <c r="B2" t="s">
        <v>0</v>
      </c>
      <c r="C2">
        <v>3.1415000000000002</v>
      </c>
    </row>
    <row r="3" spans="2:12">
      <c r="B3" t="s">
        <v>1</v>
      </c>
      <c r="C3">
        <v>2.7181999999999999</v>
      </c>
    </row>
    <row r="6" spans="2:12">
      <c r="B6" s="32" t="s">
        <v>23</v>
      </c>
      <c r="C6" s="32" t="s">
        <v>24</v>
      </c>
      <c r="D6" s="32" t="s">
        <v>3</v>
      </c>
      <c r="E6" s="32" t="s">
        <v>2</v>
      </c>
      <c r="F6" s="32" t="s">
        <v>6</v>
      </c>
      <c r="G6" s="32" t="s">
        <v>4</v>
      </c>
      <c r="H6" s="32" t="s">
        <v>7</v>
      </c>
      <c r="I6" s="32" t="s">
        <v>9</v>
      </c>
      <c r="J6" s="32" t="s">
        <v>10</v>
      </c>
      <c r="K6" s="32" t="s">
        <v>11</v>
      </c>
      <c r="L6" s="32" t="s">
        <v>12</v>
      </c>
    </row>
    <row r="7" spans="2:12">
      <c r="B7" s="32" t="s">
        <v>25</v>
      </c>
      <c r="C7" s="32">
        <v>2</v>
      </c>
      <c r="D7" s="32">
        <v>35</v>
      </c>
      <c r="E7" s="32">
        <v>97.221999999999994</v>
      </c>
      <c r="F7" s="33">
        <f>(D7-E7)^2</f>
        <v>3871.5772839999991</v>
      </c>
      <c r="G7" s="33">
        <f>(D7-$C$23)/$C$24</f>
        <v>-2.0994702567736274</v>
      </c>
      <c r="H7" s="33">
        <f>($C$3^(-(G7^2)/2))/SQRT(2*$C$2)</f>
        <v>4.4036117848049477E-2</v>
      </c>
      <c r="I7" s="35">
        <f>H7*(($C$21*10)/($C$24))</f>
        <v>1.6047173221275244</v>
      </c>
      <c r="J7" s="32">
        <f>C7</f>
        <v>2</v>
      </c>
      <c r="K7" s="35">
        <f>I7</f>
        <v>1.6047173221275244</v>
      </c>
      <c r="L7" s="35">
        <f>ABS(J7-K7)</f>
        <v>0.39528267787247562</v>
      </c>
    </row>
    <row r="8" spans="2:12">
      <c r="B8" s="32" t="s">
        <v>26</v>
      </c>
      <c r="C8" s="32">
        <v>4</v>
      </c>
      <c r="D8" s="32">
        <v>45</v>
      </c>
      <c r="E8" s="32">
        <v>97.221999999999994</v>
      </c>
      <c r="F8" s="33">
        <f t="shared" ref="F8:F19" si="0">(D8-E8)^2</f>
        <v>2727.1372839999995</v>
      </c>
      <c r="G8" s="33">
        <f>(D8-$C$23)/$C$24</f>
        <v>-1.7620541890204808</v>
      </c>
      <c r="H8" s="33">
        <f t="shared" ref="H8:H20" si="1">($C$3^(-(G8^2)/2))/SQRT(2*$C$2)</f>
        <v>8.4475431692684927E-2</v>
      </c>
      <c r="I8" s="35">
        <f t="shared" ref="I8:I20" si="2">H8*(($C$21*10)/($C$24))</f>
        <v>3.0783637422174892</v>
      </c>
      <c r="J8" s="32">
        <f>J7+C8</f>
        <v>6</v>
      </c>
      <c r="K8" s="35">
        <f>K7+I8</f>
        <v>4.6830810643450134</v>
      </c>
      <c r="L8" s="35">
        <f t="shared" ref="L8:L20" si="3">ABS(J8-K8)</f>
        <v>1.3169189356549866</v>
      </c>
    </row>
    <row r="9" spans="2:12">
      <c r="B9" s="32" t="s">
        <v>27</v>
      </c>
      <c r="C9" s="32">
        <v>6</v>
      </c>
      <c r="D9" s="32">
        <v>55</v>
      </c>
      <c r="E9" s="32">
        <v>97.221999999999994</v>
      </c>
      <c r="F9" s="33">
        <f t="shared" si="0"/>
        <v>1782.6972839999994</v>
      </c>
      <c r="G9" s="33">
        <f>(D9-$C$23)/$C$24</f>
        <v>-1.4246381212673345</v>
      </c>
      <c r="H9" s="33">
        <f t="shared" si="1"/>
        <v>0.14461357035787772</v>
      </c>
      <c r="I9" s="35">
        <f t="shared" si="2"/>
        <v>5.2698537634209925</v>
      </c>
      <c r="J9" s="32">
        <f t="shared" ref="J9:J13" si="4">J8+C9</f>
        <v>12</v>
      </c>
      <c r="K9" s="35">
        <f t="shared" ref="K9:K20" si="5">K8+I9</f>
        <v>9.9529348277660059</v>
      </c>
      <c r="L9" s="35">
        <f t="shared" si="3"/>
        <v>2.0470651722339941</v>
      </c>
    </row>
    <row r="10" spans="2:12">
      <c r="B10" s="32" t="s">
        <v>28</v>
      </c>
      <c r="C10" s="32">
        <v>8</v>
      </c>
      <c r="D10" s="32">
        <v>65</v>
      </c>
      <c r="E10" s="32">
        <v>97.221999999999994</v>
      </c>
      <c r="F10" s="33">
        <f t="shared" si="0"/>
        <v>1038.2572839999996</v>
      </c>
      <c r="G10" s="33">
        <f>(D10-$C$23)/$C$24</f>
        <v>-1.0872220535141881</v>
      </c>
      <c r="H10" s="33">
        <f t="shared" si="1"/>
        <v>0.2209250242948651</v>
      </c>
      <c r="I10" s="35">
        <f t="shared" si="2"/>
        <v>8.0507145203109065</v>
      </c>
      <c r="J10" s="32">
        <f t="shared" si="4"/>
        <v>20</v>
      </c>
      <c r="K10" s="35">
        <f t="shared" si="5"/>
        <v>18.003649348076912</v>
      </c>
      <c r="L10" s="35">
        <f t="shared" si="3"/>
        <v>1.9963506519230876</v>
      </c>
    </row>
    <row r="11" spans="2:12">
      <c r="B11" s="32" t="s">
        <v>29</v>
      </c>
      <c r="C11" s="32">
        <v>11</v>
      </c>
      <c r="D11" s="32">
        <v>75</v>
      </c>
      <c r="E11" s="32">
        <v>97.221999999999994</v>
      </c>
      <c r="F11" s="33">
        <f t="shared" si="0"/>
        <v>493.81728399999974</v>
      </c>
      <c r="G11" s="33">
        <f>(D11-$C$23)/$C$24</f>
        <v>-0.74980598576104174</v>
      </c>
      <c r="H11" s="33">
        <f t="shared" si="1"/>
        <v>0.30118823849705495</v>
      </c>
      <c r="I11" s="35">
        <f t="shared" si="2"/>
        <v>10.975581117414697</v>
      </c>
      <c r="J11" s="32">
        <f t="shared" si="4"/>
        <v>31</v>
      </c>
      <c r="K11" s="35">
        <f t="shared" si="5"/>
        <v>28.979230465491611</v>
      </c>
      <c r="L11" s="35">
        <f t="shared" si="3"/>
        <v>2.0207695345083891</v>
      </c>
    </row>
    <row r="12" spans="2:12">
      <c r="B12" s="32" t="s">
        <v>30</v>
      </c>
      <c r="C12" s="32">
        <v>14</v>
      </c>
      <c r="D12" s="32">
        <v>85</v>
      </c>
      <c r="E12" s="32">
        <v>97.221999999999994</v>
      </c>
      <c r="F12" s="33">
        <f t="shared" si="0"/>
        <v>149.37728399999986</v>
      </c>
      <c r="G12" s="33">
        <f>(D12-$C$23)/$C$24</f>
        <v>-0.41238991800789532</v>
      </c>
      <c r="H12" s="33">
        <f t="shared" si="1"/>
        <v>0.36642773643559123</v>
      </c>
      <c r="I12" s="35">
        <f t="shared" si="2"/>
        <v>13.352969441928622</v>
      </c>
      <c r="J12" s="32">
        <f t="shared" si="4"/>
        <v>45</v>
      </c>
      <c r="K12" s="35">
        <f t="shared" si="5"/>
        <v>42.332199907420232</v>
      </c>
      <c r="L12" s="35">
        <f t="shared" si="3"/>
        <v>2.6678000925797676</v>
      </c>
    </row>
    <row r="13" spans="2:12">
      <c r="B13" s="32" t="s">
        <v>31</v>
      </c>
      <c r="C13" s="32">
        <v>15</v>
      </c>
      <c r="D13" s="32">
        <v>95</v>
      </c>
      <c r="E13" s="32">
        <v>97.221999999999994</v>
      </c>
      <c r="F13" s="33">
        <f t="shared" si="0"/>
        <v>4.9372839999999742</v>
      </c>
      <c r="G13" s="33">
        <f>(D13-$C$23)/$C$24</f>
        <v>-7.4973850254748939E-2</v>
      </c>
      <c r="H13" s="33">
        <f t="shared" si="1"/>
        <v>0.39782851188388663</v>
      </c>
      <c r="I13" s="35">
        <f t="shared" si="2"/>
        <v>14.497243068954266</v>
      </c>
      <c r="J13" s="32">
        <f t="shared" si="4"/>
        <v>60</v>
      </c>
      <c r="K13" s="35">
        <f t="shared" si="5"/>
        <v>56.829442976374494</v>
      </c>
      <c r="L13" s="35">
        <f t="shared" si="3"/>
        <v>3.1705570236255056</v>
      </c>
    </row>
    <row r="14" spans="2:12">
      <c r="B14" s="32" t="s">
        <v>32</v>
      </c>
      <c r="C14" s="32">
        <v>13</v>
      </c>
      <c r="D14" s="32">
        <v>105</v>
      </c>
      <c r="E14" s="32">
        <v>97.221999999999994</v>
      </c>
      <c r="F14" s="33">
        <f t="shared" si="0"/>
        <v>60.497284000000093</v>
      </c>
      <c r="G14" s="33">
        <f>(D14-$C$23)/$C$24</f>
        <v>0.26244221749839747</v>
      </c>
      <c r="H14" s="33">
        <f t="shared" si="1"/>
        <v>0.38544348105701909</v>
      </c>
      <c r="I14" s="35">
        <f t="shared" si="2"/>
        <v>14.045920961689127</v>
      </c>
      <c r="J14" s="32">
        <f>J13+C14</f>
        <v>73</v>
      </c>
      <c r="K14" s="35">
        <f t="shared" si="5"/>
        <v>70.875363938063629</v>
      </c>
      <c r="L14" s="35">
        <f t="shared" si="3"/>
        <v>2.1246360619363713</v>
      </c>
    </row>
    <row r="15" spans="2:12">
      <c r="B15" s="32" t="s">
        <v>33</v>
      </c>
      <c r="C15" s="32">
        <v>11</v>
      </c>
      <c r="D15" s="32">
        <v>115</v>
      </c>
      <c r="E15" s="32">
        <v>97.221999999999994</v>
      </c>
      <c r="F15" s="33">
        <f>(D15-E15)^2</f>
        <v>316.05728400000021</v>
      </c>
      <c r="G15" s="33">
        <f>(D15-$C$23)/$C$24</f>
        <v>0.59985828525154383</v>
      </c>
      <c r="H15" s="33">
        <f t="shared" si="1"/>
        <v>0.33325965375383521</v>
      </c>
      <c r="I15" s="35">
        <f t="shared" si="2"/>
        <v>12.144293486322571</v>
      </c>
      <c r="J15" s="32">
        <f t="shared" ref="J15:J20" si="6">J14+C15</f>
        <v>84</v>
      </c>
      <c r="K15" s="35">
        <f t="shared" si="5"/>
        <v>83.019657424386196</v>
      </c>
      <c r="L15" s="35">
        <f>ABS(J15-K15)</f>
        <v>0.980342575613804</v>
      </c>
    </row>
    <row r="16" spans="2:12">
      <c r="B16" s="32" t="s">
        <v>34</v>
      </c>
      <c r="C16" s="32">
        <v>8</v>
      </c>
      <c r="D16" s="32">
        <v>125</v>
      </c>
      <c r="E16" s="32">
        <v>97.221999999999994</v>
      </c>
      <c r="F16" s="33">
        <f t="shared" si="0"/>
        <v>771.61728400000027</v>
      </c>
      <c r="G16" s="33">
        <f>(D16-$C$23)/$C$24</f>
        <v>0.93727435300469031</v>
      </c>
      <c r="H16" s="33">
        <f t="shared" si="1"/>
        <v>0.25713548078054793</v>
      </c>
      <c r="I16" s="35">
        <f t="shared" si="2"/>
        <v>9.3702574229170228</v>
      </c>
      <c r="J16" s="32">
        <f t="shared" si="6"/>
        <v>92</v>
      </c>
      <c r="K16" s="35">
        <f t="shared" si="5"/>
        <v>92.389914847303217</v>
      </c>
      <c r="L16" s="35">
        <f t="shared" si="3"/>
        <v>0.38991484730321702</v>
      </c>
    </row>
    <row r="17" spans="2:12">
      <c r="B17" s="32" t="s">
        <v>35</v>
      </c>
      <c r="C17" s="32">
        <v>6</v>
      </c>
      <c r="D17" s="32">
        <v>135</v>
      </c>
      <c r="E17" s="32">
        <v>97.221999999999994</v>
      </c>
      <c r="F17" s="33">
        <f t="shared" si="0"/>
        <v>1427.1772840000003</v>
      </c>
      <c r="G17" s="33">
        <f>(D17-$C$23)/$C$24</f>
        <v>1.2746904207578367</v>
      </c>
      <c r="H17" s="33">
        <f t="shared" si="1"/>
        <v>0.17705105095712276</v>
      </c>
      <c r="I17" s="35">
        <f t="shared" si="2"/>
        <v>6.4519058957955462</v>
      </c>
      <c r="J17" s="32">
        <f t="shared" si="6"/>
        <v>98</v>
      </c>
      <c r="K17" s="35">
        <f t="shared" si="5"/>
        <v>98.841820743098765</v>
      </c>
      <c r="L17" s="35">
        <f t="shared" si="3"/>
        <v>0.84182074309876498</v>
      </c>
    </row>
    <row r="18" spans="2:12">
      <c r="B18" s="32" t="s">
        <v>36</v>
      </c>
      <c r="C18" s="32">
        <v>5</v>
      </c>
      <c r="D18" s="32">
        <v>145</v>
      </c>
      <c r="E18" s="32">
        <v>97.221999999999994</v>
      </c>
      <c r="F18" s="33">
        <f t="shared" si="0"/>
        <v>2282.7372840000007</v>
      </c>
      <c r="G18" s="33">
        <f>(D18-$C$23)/$C$24</f>
        <v>1.612106488510983</v>
      </c>
      <c r="H18" s="33">
        <f t="shared" si="1"/>
        <v>0.10879081880456373</v>
      </c>
      <c r="I18" s="35">
        <f t="shared" si="2"/>
        <v>3.9644391911775427</v>
      </c>
      <c r="J18" s="32">
        <f t="shared" si="6"/>
        <v>103</v>
      </c>
      <c r="K18" s="35">
        <f t="shared" si="5"/>
        <v>102.80625993427631</v>
      </c>
      <c r="L18" s="35">
        <f t="shared" si="3"/>
        <v>0.19374006572368785</v>
      </c>
    </row>
    <row r="19" spans="2:12">
      <c r="B19" s="32" t="s">
        <v>37</v>
      </c>
      <c r="C19" s="32">
        <v>3</v>
      </c>
      <c r="D19" s="32">
        <v>155</v>
      </c>
      <c r="E19" s="32">
        <v>97.221999999999994</v>
      </c>
      <c r="F19" s="33">
        <f t="shared" si="0"/>
        <v>3338.2972840000007</v>
      </c>
      <c r="G19" s="33">
        <f>(D19-$C$23)/$C$24</f>
        <v>1.9495225562641294</v>
      </c>
      <c r="H19" s="33">
        <f t="shared" si="1"/>
        <v>5.9654500834957887E-2</v>
      </c>
      <c r="I19" s="35">
        <f t="shared" si="2"/>
        <v>2.1738658063148941</v>
      </c>
      <c r="J19" s="32">
        <f t="shared" si="6"/>
        <v>106</v>
      </c>
      <c r="K19" s="35">
        <f t="shared" si="5"/>
        <v>104.98012574059121</v>
      </c>
      <c r="L19" s="35">
        <f t="shared" si="3"/>
        <v>1.0198742594087946</v>
      </c>
    </row>
    <row r="20" spans="2:12">
      <c r="B20" s="32" t="s">
        <v>38</v>
      </c>
      <c r="C20" s="32">
        <v>2</v>
      </c>
      <c r="D20" s="32">
        <v>165</v>
      </c>
      <c r="E20" s="32">
        <v>97.221999999999994</v>
      </c>
      <c r="F20" s="33">
        <f>(D20-E20)^2</f>
        <v>4593.8572840000006</v>
      </c>
      <c r="G20" s="33">
        <f>(D20-$C$23)/$C$24</f>
        <v>2.2869386240172758</v>
      </c>
      <c r="H20" s="33">
        <f t="shared" si="1"/>
        <v>2.9191164537073593E-2</v>
      </c>
      <c r="I20" s="35">
        <f t="shared" si="2"/>
        <v>1.0637533387333227</v>
      </c>
      <c r="J20" s="32">
        <f t="shared" si="6"/>
        <v>108</v>
      </c>
      <c r="K20" s="35">
        <f t="shared" si="5"/>
        <v>106.04387907932453</v>
      </c>
      <c r="L20" s="35">
        <f t="shared" si="3"/>
        <v>1.9561209206754739</v>
      </c>
    </row>
    <row r="21" spans="2:12">
      <c r="B21" s="32" t="s">
        <v>8</v>
      </c>
      <c r="C21" s="32">
        <f>SUM(C7:C20)</f>
        <v>108</v>
      </c>
      <c r="D21" s="32"/>
      <c r="E21" s="32"/>
      <c r="F21" s="32"/>
      <c r="G21" s="32"/>
      <c r="H21" s="32"/>
      <c r="I21" s="35">
        <f>SUM(I7:I20)</f>
        <v>106.04387907932453</v>
      </c>
      <c r="J21" s="32"/>
      <c r="K21" s="32"/>
      <c r="L21" s="32"/>
    </row>
    <row r="22" spans="2:12">
      <c r="B22" s="32"/>
      <c r="C22" s="32"/>
      <c r="D22" s="32"/>
      <c r="E22" s="32"/>
      <c r="F22" s="32"/>
      <c r="G22" s="32"/>
      <c r="H22" s="32"/>
      <c r="I22" s="32"/>
      <c r="J22" s="32"/>
      <c r="K22" s="32" t="s">
        <v>13</v>
      </c>
      <c r="L22" s="34">
        <f>MAX(L7:L20)</f>
        <v>3.1705570236255056</v>
      </c>
    </row>
    <row r="23" spans="2:12">
      <c r="B23" s="32" t="s">
        <v>2</v>
      </c>
      <c r="C23" s="32">
        <f>97.222</f>
        <v>97.221999999999994</v>
      </c>
      <c r="D23" s="32"/>
      <c r="E23" s="32"/>
      <c r="F23" s="32"/>
      <c r="G23" s="32"/>
      <c r="H23" s="32"/>
      <c r="I23" s="32"/>
      <c r="J23" s="32"/>
      <c r="K23" s="32" t="s">
        <v>14</v>
      </c>
      <c r="L23" s="34">
        <f>L22/10</f>
        <v>0.31705570236255054</v>
      </c>
    </row>
    <row r="24" spans="2:12">
      <c r="B24" s="32" t="s">
        <v>5</v>
      </c>
      <c r="C24" s="32">
        <v>29.637</v>
      </c>
      <c r="D24" s="32"/>
      <c r="E24" s="32"/>
      <c r="F24" s="32"/>
      <c r="G24" s="32"/>
      <c r="H24" s="32"/>
      <c r="I24" s="32"/>
      <c r="J24" s="32"/>
      <c r="K24" s="32"/>
      <c r="L24" s="32"/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Инд. Зад.</vt:lpstr>
      <vt:lpstr>Зад. с пары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Andrew Frolov</dc:creator>
  <cp:lastModifiedBy>Andrew Froliv</cp:lastModifiedBy>
  <dcterms:created xsi:type="dcterms:W3CDTF">2025-11-16T13:14:18Z</dcterms:created>
  <dcterms:modified xsi:type="dcterms:W3CDTF">2025-12-17T05:22:17Z</dcterms:modified>
</cp:coreProperties>
</file>