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Portfolio\2-course\МатСтат\"/>
    </mc:Choice>
  </mc:AlternateContent>
  <xr:revisionPtr revIDLastSave="0" documentId="13_ncr:1_{C5B7AB77-E3A0-4CA3-AA9D-D5336ABF8942}" xr6:coauthVersionLast="47" xr6:coauthVersionMax="47" xr10:uidLastSave="{00000000-0000-0000-0000-000000000000}"/>
  <bookViews>
    <workbookView xWindow="-120" yWindow="-120" windowWidth="29040" windowHeight="16440" xr2:uid="{F9645E30-CE5F-4ADC-86D3-75E0D9A6CD9E}"/>
  </bookViews>
  <sheets>
    <sheet name="Задание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I3" i="1"/>
  <c r="F3" i="1"/>
  <c r="G3" i="1"/>
  <c r="H3" i="1" s="1"/>
  <c r="F4" i="1"/>
  <c r="F5" i="1"/>
  <c r="F6" i="1"/>
  <c r="F7" i="1"/>
  <c r="E4" i="1" l="1"/>
  <c r="E5" i="1"/>
  <c r="E6" i="1"/>
  <c r="E7" i="1"/>
  <c r="E3" i="1"/>
  <c r="D4" i="1"/>
  <c r="D5" i="1"/>
  <c r="D6" i="1"/>
  <c r="D7" i="1"/>
  <c r="D3" i="1"/>
</calcChain>
</file>

<file path=xl/sharedStrings.xml><?xml version="1.0" encoding="utf-8"?>
<sst xmlns="http://schemas.openxmlformats.org/spreadsheetml/2006/main" count="16" uniqueCount="15">
  <si>
    <t>n</t>
  </si>
  <si>
    <t>d, мм</t>
  </si>
  <si>
    <t>di-d0</t>
  </si>
  <si>
    <t>(di-d0)^2</t>
  </si>
  <si>
    <t>Средн. d</t>
  </si>
  <si>
    <t>Cредн. квадр. Погрешность</t>
  </si>
  <si>
    <t>Станд. отклонение</t>
  </si>
  <si>
    <t>Абсол. Погрешность</t>
  </si>
  <si>
    <t>d0</t>
  </si>
  <si>
    <t>Относ. Погрешность, %</t>
  </si>
  <si>
    <r>
      <t xml:space="preserve">14,85 </t>
    </r>
    <r>
      <rPr>
        <sz val="12"/>
        <color theme="1"/>
        <rFont val="Calibri"/>
        <family val="2"/>
        <charset val="204"/>
      </rPr>
      <t>±</t>
    </r>
    <r>
      <rPr>
        <sz val="12"/>
        <color theme="1"/>
        <rFont val="Cambria"/>
        <family val="1"/>
        <charset val="204"/>
      </rPr>
      <t xml:space="preserve"> 0,03</t>
    </r>
  </si>
  <si>
    <t>14,8 ± 0,03</t>
  </si>
  <si>
    <t>14,79 ± 0,03</t>
  </si>
  <si>
    <t>14,84 ± 0,03</t>
  </si>
  <si>
    <t>14,81 ± 0,03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</si>
</sst>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"/>
  </numFmts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Cambria"/>
      <family val="1"/>
      <charset val="204"/>
    </font>
    <font>
      <sz val="12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/>
    <xf numFmtId="164" fontId="1" fillId="0" borderId="0" xfId="0" applyNumberFormat="1" applyFont="1"/>
    <xf numFmtId="2" fontId="1" fillId="0" borderId="0" xfId="0" applyNumberFormat="1" applyFont="1" applyAlignment="1">
      <alignment horizontal="center"/>
    </xf>
    <xf numFmtId="166" fontId="1" fillId="0" borderId="0" xfId="0" applyNumberFormat="1" applyFont="1"/>
    <xf numFmtId="167" fontId="1" fillId="0" borderId="0" xfId="0" applyNumberFormat="1" applyFont="1"/>
    <xf numFmtId="165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90DBD-84ED-4912-94B3-3AAE5C112B20}">
  <dimension ref="B2:K10"/>
  <sheetViews>
    <sheetView tabSelected="1" workbookViewId="0">
      <selection activeCell="E10" sqref="E10:F11"/>
    </sheetView>
  </sheetViews>
  <sheetFormatPr defaultColWidth="8.85546875" defaultRowHeight="15.75" x14ac:dyDescent="0.25"/>
  <cols>
    <col min="1" max="1" width="8.85546875" style="1"/>
    <col min="2" max="2" width="2.85546875" style="1" customWidth="1"/>
    <col min="3" max="3" width="9.5703125" style="1" customWidth="1"/>
    <col min="4" max="4" width="6.140625" style="1" bestFit="1" customWidth="1"/>
    <col min="5" max="5" width="10.28515625" style="1" customWidth="1"/>
    <col min="6" max="6" width="10" style="1" bestFit="1" customWidth="1"/>
    <col min="7" max="7" width="28.7109375" style="1" bestFit="1" customWidth="1"/>
    <col min="8" max="8" width="20.28515625" style="1" bestFit="1" customWidth="1"/>
    <col min="9" max="9" width="21.7109375" style="1" bestFit="1" customWidth="1"/>
    <col min="10" max="10" width="24.28515625" style="1" customWidth="1"/>
    <col min="11" max="11" width="12.5703125" style="1" customWidth="1"/>
    <col min="12" max="16384" width="8.85546875" style="1"/>
  </cols>
  <sheetData>
    <row r="2" spans="2:11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9</v>
      </c>
      <c r="K2" s="2" t="s">
        <v>1</v>
      </c>
    </row>
    <row r="3" spans="2:11" x14ac:dyDescent="0.25">
      <c r="B3" s="1">
        <v>1</v>
      </c>
      <c r="C3" s="3">
        <v>14.85</v>
      </c>
      <c r="D3" s="3">
        <f>C3-$C$10</f>
        <v>4.9999999999998934E-2</v>
      </c>
      <c r="E3" s="7">
        <f>D3^2</f>
        <v>2.4999999999998934E-3</v>
      </c>
      <c r="F3" s="8">
        <f>C$10+(SUM($D$3:$D$7)/5)</f>
        <v>14.818</v>
      </c>
      <c r="G3" s="9">
        <f xml:space="preserve"> (1/(5*(5-1)))*(SUM(E3:E7)-(5*((F3-C10)^2)))</f>
        <v>1.3400000000000247E-4</v>
      </c>
      <c r="H3" s="10">
        <f>SQRT(G3)</f>
        <v>1.1575836902790333E-2</v>
      </c>
      <c r="I3" s="11">
        <f>2.57*H3</f>
        <v>2.9749900840171154E-2</v>
      </c>
      <c r="J3" s="12">
        <f>I3/F3 * 100</f>
        <v>0.20076866540809254</v>
      </c>
      <c r="K3" s="5" t="s">
        <v>10</v>
      </c>
    </row>
    <row r="4" spans="2:11" x14ac:dyDescent="0.25">
      <c r="B4" s="1">
        <v>2</v>
      </c>
      <c r="C4" s="3">
        <v>14.8</v>
      </c>
      <c r="D4" s="3">
        <f t="shared" ref="D4:D7" si="0">C4-$C$10</f>
        <v>0</v>
      </c>
      <c r="E4" s="4">
        <f t="shared" ref="E4:E7" si="1">D4^2</f>
        <v>0</v>
      </c>
      <c r="F4" s="8">
        <f t="shared" ref="F4:F7" si="2">C$10+(SUM($D$3:$D$7)/5)</f>
        <v>14.818</v>
      </c>
      <c r="G4" s="9"/>
      <c r="H4" s="10"/>
      <c r="I4" s="11"/>
      <c r="J4" s="12"/>
      <c r="K4" s="5" t="s">
        <v>11</v>
      </c>
    </row>
    <row r="5" spans="2:11" x14ac:dyDescent="0.25">
      <c r="B5" s="1">
        <v>3</v>
      </c>
      <c r="C5" s="3">
        <v>14.79</v>
      </c>
      <c r="D5" s="3">
        <f t="shared" si="0"/>
        <v>-1.0000000000001563E-2</v>
      </c>
      <c r="E5" s="6">
        <f t="shared" si="1"/>
        <v>1.0000000000003127E-4</v>
      </c>
      <c r="F5" s="8">
        <f t="shared" si="2"/>
        <v>14.818</v>
      </c>
      <c r="G5" s="9"/>
      <c r="H5" s="10"/>
      <c r="I5" s="11"/>
      <c r="J5" s="12"/>
      <c r="K5" s="5" t="s">
        <v>12</v>
      </c>
    </row>
    <row r="6" spans="2:11" x14ac:dyDescent="0.25">
      <c r="B6" s="1">
        <v>4</v>
      </c>
      <c r="C6" s="3">
        <v>14.84</v>
      </c>
      <c r="D6" s="3">
        <f t="shared" si="0"/>
        <v>3.9999999999999147E-2</v>
      </c>
      <c r="E6" s="6">
        <f t="shared" si="1"/>
        <v>1.5999999999999318E-3</v>
      </c>
      <c r="F6" s="8">
        <f t="shared" si="2"/>
        <v>14.818</v>
      </c>
      <c r="G6" s="9"/>
      <c r="H6" s="10"/>
      <c r="I6" s="11"/>
      <c r="J6" s="12"/>
      <c r="K6" s="5" t="s">
        <v>13</v>
      </c>
    </row>
    <row r="7" spans="2:11" x14ac:dyDescent="0.25">
      <c r="B7" s="1">
        <v>5</v>
      </c>
      <c r="C7" s="3">
        <v>14.81</v>
      </c>
      <c r="D7" s="3">
        <f t="shared" si="0"/>
        <v>9.9999999999997868E-3</v>
      </c>
      <c r="E7" s="6">
        <f t="shared" si="1"/>
        <v>9.9999999999995736E-5</v>
      </c>
      <c r="F7" s="8">
        <f t="shared" si="2"/>
        <v>14.818</v>
      </c>
      <c r="G7" s="9"/>
      <c r="H7" s="10"/>
      <c r="I7" s="11"/>
      <c r="J7" s="12"/>
      <c r="K7" s="5" t="s">
        <v>14</v>
      </c>
    </row>
    <row r="9" spans="2:11" ht="15" x14ac:dyDescent="0.25">
      <c r="C9" s="2" t="s">
        <v>8</v>
      </c>
    </row>
    <row r="10" spans="2:11" ht="15" x14ac:dyDescent="0.25">
      <c r="C10" s="5">
        <v>14.8</v>
      </c>
    </row>
  </sheetData>
  <mergeCells count="4">
    <mergeCell ref="G3:G7"/>
    <mergeCell ref="H3:H7"/>
    <mergeCell ref="I3:I7"/>
    <mergeCell ref="J3:J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Froliv</dc:creator>
  <cp:lastModifiedBy>Andrew Frolov</cp:lastModifiedBy>
  <dcterms:created xsi:type="dcterms:W3CDTF">2025-10-29T10:49:26Z</dcterms:created>
  <dcterms:modified xsi:type="dcterms:W3CDTF">2025-12-13T20:58:24Z</dcterms:modified>
</cp:coreProperties>
</file>