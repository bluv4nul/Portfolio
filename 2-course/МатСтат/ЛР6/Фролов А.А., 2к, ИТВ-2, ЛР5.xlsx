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Portfolio\2-course\МатСтат\ЛР6\"/>
    </mc:Choice>
  </mc:AlternateContent>
  <xr:revisionPtr revIDLastSave="0" documentId="13_ncr:1_{3F244A41-CA32-4A8B-9FBA-474F7D967437}" xr6:coauthVersionLast="47" xr6:coauthVersionMax="47" xr10:uidLastSave="{00000000-0000-0000-0000-000000000000}"/>
  <bookViews>
    <workbookView xWindow="14700" yWindow="0" windowWidth="14610" windowHeight="16305" xr2:uid="{27A1C7E0-8802-4A9F-8FE2-2FC45B0BA60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1" l="1"/>
  <c r="I10" i="1"/>
  <c r="I7" i="1"/>
  <c r="L7" i="1"/>
  <c r="K7" i="1"/>
  <c r="J8" i="1"/>
  <c r="J7" i="1"/>
  <c r="G8" i="1"/>
  <c r="H8" i="1" s="1"/>
  <c r="I8" i="1" s="1"/>
  <c r="G9" i="1"/>
  <c r="G10" i="1"/>
  <c r="G11" i="1"/>
  <c r="G12" i="1"/>
  <c r="H12" i="1" s="1"/>
  <c r="I12" i="1" s="1"/>
  <c r="G13" i="1"/>
  <c r="G14" i="1"/>
  <c r="H14" i="1" s="1"/>
  <c r="I14" i="1" s="1"/>
  <c r="H9" i="1"/>
  <c r="I9" i="1" s="1"/>
  <c r="H10" i="1"/>
  <c r="H11" i="1"/>
  <c r="I11" i="1" s="1"/>
  <c r="H13" i="1"/>
  <c r="I13" i="1" s="1"/>
  <c r="G7" i="1"/>
  <c r="H7" i="1"/>
  <c r="F7" i="1"/>
  <c r="F8" i="1"/>
  <c r="F9" i="1"/>
  <c r="F10" i="1"/>
  <c r="F11" i="1"/>
  <c r="F12" i="1"/>
  <c r="F13" i="1"/>
  <c r="F14" i="1"/>
  <c r="C17" i="1"/>
  <c r="C15" i="1"/>
  <c r="I15" i="1" l="1"/>
  <c r="K8" i="1" l="1"/>
  <c r="K9" i="1" s="1"/>
  <c r="K10" i="1" s="1"/>
  <c r="K11" i="1" s="1"/>
  <c r="K12" i="1" s="1"/>
  <c r="K13" i="1" s="1"/>
  <c r="K14" i="1" s="1"/>
  <c r="J9" i="1" l="1"/>
  <c r="L8" i="1" l="1"/>
  <c r="L9" i="1"/>
  <c r="J10" i="1"/>
  <c r="L10" i="1" l="1"/>
  <c r="J11" i="1"/>
  <c r="J12" i="1" l="1"/>
  <c r="L11" i="1"/>
  <c r="J13" i="1" l="1"/>
  <c r="J14" i="1" s="1"/>
  <c r="L12" i="1"/>
  <c r="L14" i="1" l="1"/>
  <c r="L13" i="1"/>
  <c r="L16" i="1" l="1"/>
</calcChain>
</file>

<file path=xl/sharedStrings.xml><?xml version="1.0" encoding="utf-8"?>
<sst xmlns="http://schemas.openxmlformats.org/spreadsheetml/2006/main" count="26" uniqueCount="25">
  <si>
    <t>p</t>
  </si>
  <si>
    <t>e</t>
  </si>
  <si>
    <t>ср знач</t>
  </si>
  <si>
    <t>Середина интервала x_i</t>
  </si>
  <si>
    <t>t_i</t>
  </si>
  <si>
    <t>ср отклон</t>
  </si>
  <si>
    <t>(x_i - ср знач)^2</t>
  </si>
  <si>
    <t>фи(t)</t>
  </si>
  <si>
    <t>Итого</t>
  </si>
  <si>
    <t>Теор. Част. fm</t>
  </si>
  <si>
    <t>Накопл. Эмпир. Част.  Fi</t>
  </si>
  <si>
    <t>Накопл. Теор. Част.  Fm</t>
  </si>
  <si>
    <t>D_i</t>
  </si>
  <si>
    <t>D_max</t>
  </si>
  <si>
    <t>alpha</t>
  </si>
  <si>
    <t>37-41,5</t>
  </si>
  <si>
    <t>41,5-46</t>
  </si>
  <si>
    <t>46-50,5</t>
  </si>
  <si>
    <t>50,5-55</t>
  </si>
  <si>
    <t>55-59,5</t>
  </si>
  <si>
    <t>59,5 - 64</t>
  </si>
  <si>
    <t>64 - 68,5</t>
  </si>
  <si>
    <t>68,5-73</t>
  </si>
  <si>
    <t>Интервал</t>
  </si>
  <si>
    <t>Кол-во f_i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</si>
</sst>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charset val="204"/>
      <scheme val="minor"/>
    </font>
    <font>
      <sz val="10"/>
      <color theme="1"/>
      <name val="Open Sans SemiBold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2" fontId="1" fillId="3" borderId="12" xfId="0" applyNumberFormat="1" applyFont="1" applyFill="1" applyBorder="1" applyAlignment="1">
      <alignment horizontal="center"/>
    </xf>
    <xf numFmtId="1" fontId="1" fillId="3" borderId="12" xfId="0" applyNumberFormat="1" applyFont="1" applyFill="1" applyBorder="1" applyAlignment="1">
      <alignment horizontal="center"/>
    </xf>
    <xf numFmtId="1" fontId="1" fillId="3" borderId="3" xfId="0" applyNumberFormat="1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2" fontId="1" fillId="3" borderId="13" xfId="0" applyNumberFormat="1" applyFont="1" applyFill="1" applyBorder="1" applyAlignment="1">
      <alignment horizontal="center"/>
    </xf>
    <xf numFmtId="1" fontId="1" fillId="3" borderId="13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14" xfId="0" applyNumberFormat="1" applyFont="1" applyFill="1" applyBorder="1" applyAlignment="1">
      <alignment horizontal="center"/>
    </xf>
    <xf numFmtId="164" fontId="1" fillId="3" borderId="5" xfId="0" applyNumberFormat="1" applyFont="1" applyFill="1" applyBorder="1" applyAlignment="1">
      <alignment horizontal="center"/>
    </xf>
    <xf numFmtId="1" fontId="1" fillId="3" borderId="14" xfId="0" applyNumberFormat="1" applyFont="1" applyFill="1" applyBorder="1" applyAlignment="1">
      <alignment horizontal="center"/>
    </xf>
    <xf numFmtId="1" fontId="1" fillId="3" borderId="5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2" fontId="1" fillId="3" borderId="6" xfId="0" applyNumberFormat="1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11" xfId="0" applyFont="1" applyFill="1" applyBorder="1" applyAlignment="1">
      <alignment horizontal="center"/>
    </xf>
    <xf numFmtId="1" fontId="1" fillId="4" borderId="11" xfId="0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164" fontId="1" fillId="3" borderId="0" xfId="0" applyNumberFormat="1" applyFont="1" applyFill="1" applyBorder="1" applyAlignment="1">
      <alignment horizontal="center"/>
    </xf>
    <xf numFmtId="1" fontId="1" fillId="3" borderId="0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7B75A-E914-4B28-8264-0DD9E9E58F3A}">
  <dimension ref="B1:L18"/>
  <sheetViews>
    <sheetView tabSelected="1" topLeftCell="A3" zoomScale="70" zoomScaleNormal="70" workbookViewId="0">
      <selection activeCell="K32" sqref="K32"/>
    </sheetView>
  </sheetViews>
  <sheetFormatPr defaultRowHeight="16.5" x14ac:dyDescent="0.35"/>
  <cols>
    <col min="1" max="1" width="9.140625" style="26"/>
    <col min="2" max="2" width="14.28515625" style="26" bestFit="1" customWidth="1"/>
    <col min="3" max="3" width="23.7109375" style="26" bestFit="1" customWidth="1"/>
    <col min="4" max="4" width="23.85546875" style="26" bestFit="1" customWidth="1"/>
    <col min="5" max="5" width="12.28515625" style="26" bestFit="1" customWidth="1"/>
    <col min="6" max="6" width="15.28515625" style="26" bestFit="1" customWidth="1"/>
    <col min="7" max="7" width="6.140625" style="26" customWidth="1"/>
    <col min="8" max="8" width="6.7109375" style="26" bestFit="1" customWidth="1"/>
    <col min="9" max="9" width="14.28515625" style="26" bestFit="1" customWidth="1"/>
    <col min="10" max="10" width="24" style="26" bestFit="1" customWidth="1"/>
    <col min="11" max="11" width="23.28515625" style="26" bestFit="1" customWidth="1"/>
    <col min="12" max="12" width="8.7109375" style="26" customWidth="1"/>
    <col min="13" max="16384" width="9.140625" style="26"/>
  </cols>
  <sheetData>
    <row r="1" spans="2:12" ht="17.25" thickBot="1" x14ac:dyDescent="0.4"/>
    <row r="2" spans="2:12" x14ac:dyDescent="0.35">
      <c r="B2" s="20" t="s">
        <v>0</v>
      </c>
      <c r="C2" s="22">
        <v>3.1415000000000002</v>
      </c>
    </row>
    <row r="3" spans="2:12" ht="17.25" thickBot="1" x14ac:dyDescent="0.4">
      <c r="B3" s="21" t="s">
        <v>1</v>
      </c>
      <c r="C3" s="23">
        <v>2.7181999999999999</v>
      </c>
    </row>
    <row r="5" spans="2:12" ht="17.25" thickBot="1" x14ac:dyDescent="0.4"/>
    <row r="6" spans="2:12" ht="17.25" thickBot="1" x14ac:dyDescent="0.4">
      <c r="B6" s="1" t="s">
        <v>23</v>
      </c>
      <c r="C6" s="2" t="s">
        <v>24</v>
      </c>
      <c r="D6" s="2" t="s">
        <v>3</v>
      </c>
      <c r="E6" s="2" t="s">
        <v>2</v>
      </c>
      <c r="F6" s="2" t="s">
        <v>6</v>
      </c>
      <c r="G6" s="2" t="s">
        <v>4</v>
      </c>
      <c r="H6" s="2" t="s">
        <v>7</v>
      </c>
      <c r="I6" s="2" t="s">
        <v>9</v>
      </c>
      <c r="J6" s="2" t="s">
        <v>10</v>
      </c>
      <c r="K6" s="2" t="s">
        <v>11</v>
      </c>
      <c r="L6" s="3" t="s">
        <v>12</v>
      </c>
    </row>
    <row r="7" spans="2:12" x14ac:dyDescent="0.35">
      <c r="B7" s="4" t="s">
        <v>15</v>
      </c>
      <c r="C7" s="5">
        <v>5</v>
      </c>
      <c r="D7" s="29">
        <v>39.25</v>
      </c>
      <c r="E7" s="5">
        <v>55.3</v>
      </c>
      <c r="F7" s="29">
        <f>(D7-E7)^2</f>
        <v>257.60249999999991</v>
      </c>
      <c r="G7" s="6">
        <f>(D7-$C$17)/$C$18</f>
        <v>-1.8259385665529009</v>
      </c>
      <c r="H7" s="30">
        <f>($C$3^(-(G7^2)/2))/SQRT(2*$C$2)</f>
        <v>7.5328296752829843E-2</v>
      </c>
      <c r="I7" s="7">
        <f>H7*(($C$15*4.5)/($C$18))</f>
        <v>3.8563974446841223</v>
      </c>
      <c r="J7" s="31">
        <f>C7</f>
        <v>5</v>
      </c>
      <c r="K7" s="7">
        <f>I7</f>
        <v>3.8563974446841223</v>
      </c>
      <c r="L7" s="8">
        <f>ABS(J7-K7)</f>
        <v>1.1436025553158777</v>
      </c>
    </row>
    <row r="8" spans="2:12" x14ac:dyDescent="0.35">
      <c r="B8" s="4" t="s">
        <v>16</v>
      </c>
      <c r="C8" s="9">
        <v>11</v>
      </c>
      <c r="D8" s="29">
        <v>43.75</v>
      </c>
      <c r="E8" s="9">
        <v>55.3</v>
      </c>
      <c r="F8" s="29">
        <f t="shared" ref="F8:F14" si="0">(D8-E8)^2</f>
        <v>133.40249999999995</v>
      </c>
      <c r="G8" s="10">
        <f>(D8-$C$17)/$C$18</f>
        <v>-1.3139931740614332</v>
      </c>
      <c r="H8" s="30">
        <f t="shared" ref="H8:H14" si="1">($C$3^(-(G8^2)/2))/SQRT(2*$C$2)</f>
        <v>0.16826976733843654</v>
      </c>
      <c r="I8" s="11">
        <f>H8*(($C$15*4.5)/($C$18))</f>
        <v>8.6144932084523838</v>
      </c>
      <c r="J8" s="31">
        <f>J7+C8</f>
        <v>16</v>
      </c>
      <c r="K8" s="11">
        <f>K7+I8</f>
        <v>12.470890653136506</v>
      </c>
      <c r="L8" s="8">
        <f t="shared" ref="L8:L14" si="2">ABS(J8-K8)</f>
        <v>3.5291093468634944</v>
      </c>
    </row>
    <row r="9" spans="2:12" x14ac:dyDescent="0.35">
      <c r="B9" s="4" t="s">
        <v>17</v>
      </c>
      <c r="C9" s="9">
        <v>18</v>
      </c>
      <c r="D9" s="29">
        <v>48.25</v>
      </c>
      <c r="E9" s="9">
        <v>55.3</v>
      </c>
      <c r="F9" s="29">
        <f t="shared" si="0"/>
        <v>49.702499999999958</v>
      </c>
      <c r="G9" s="10">
        <f>(D9-$C$17)/$C$18</f>
        <v>-0.80204778156996559</v>
      </c>
      <c r="H9" s="30">
        <f t="shared" si="1"/>
        <v>0.28922382021978632</v>
      </c>
      <c r="I9" s="11">
        <f>H9*(($C$15*4.5)/($C$18))</f>
        <v>14.806680216030019</v>
      </c>
      <c r="J9" s="31">
        <f t="shared" ref="J9:J14" si="3">J8+C9</f>
        <v>34</v>
      </c>
      <c r="K9" s="11">
        <f t="shared" ref="K9:K14" si="4">K8+I9</f>
        <v>27.277570869166524</v>
      </c>
      <c r="L9" s="8">
        <f t="shared" si="2"/>
        <v>6.7224291308334756</v>
      </c>
    </row>
    <row r="10" spans="2:12" x14ac:dyDescent="0.35">
      <c r="B10" s="4" t="s">
        <v>18</v>
      </c>
      <c r="C10" s="9">
        <v>13</v>
      </c>
      <c r="D10" s="29">
        <v>52.75</v>
      </c>
      <c r="E10" s="9">
        <v>55.3</v>
      </c>
      <c r="F10" s="29">
        <f t="shared" si="0"/>
        <v>6.5024999999999853</v>
      </c>
      <c r="G10" s="10">
        <f>(D10-$C$17)/$C$18</f>
        <v>-0.290102389078498</v>
      </c>
      <c r="H10" s="30">
        <f t="shared" si="1"/>
        <v>0.38250933604968412</v>
      </c>
      <c r="I10" s="11">
        <f>H10*(($C$15*4.5)/($C$18))</f>
        <v>19.582389217560625</v>
      </c>
      <c r="J10" s="31">
        <f t="shared" si="3"/>
        <v>47</v>
      </c>
      <c r="K10" s="11">
        <f t="shared" si="4"/>
        <v>46.859960086727149</v>
      </c>
      <c r="L10" s="8">
        <f t="shared" si="2"/>
        <v>0.14003991327285092</v>
      </c>
    </row>
    <row r="11" spans="2:12" x14ac:dyDescent="0.35">
      <c r="B11" s="4" t="s">
        <v>19</v>
      </c>
      <c r="C11" s="9">
        <v>21</v>
      </c>
      <c r="D11" s="29">
        <v>57.25</v>
      </c>
      <c r="E11" s="9">
        <v>55.3</v>
      </c>
      <c r="F11" s="29">
        <f t="shared" si="0"/>
        <v>3.8025000000000109</v>
      </c>
      <c r="G11" s="10">
        <f>(D11-$C$17)/$C$18</f>
        <v>0.22184300341296964</v>
      </c>
      <c r="H11" s="30">
        <f t="shared" si="1"/>
        <v>0.38925127021693151</v>
      </c>
      <c r="I11" s="11">
        <f>H11*(($C$15*4.5)/($C$18))</f>
        <v>19.927539430900932</v>
      </c>
      <c r="J11" s="31">
        <f t="shared" si="3"/>
        <v>68</v>
      </c>
      <c r="K11" s="11">
        <f t="shared" si="4"/>
        <v>66.787499517628078</v>
      </c>
      <c r="L11" s="8">
        <f t="shared" si="2"/>
        <v>1.2125004823719223</v>
      </c>
    </row>
    <row r="12" spans="2:12" x14ac:dyDescent="0.35">
      <c r="B12" s="4" t="s">
        <v>20</v>
      </c>
      <c r="C12" s="9">
        <v>13</v>
      </c>
      <c r="D12" s="29">
        <v>61.75</v>
      </c>
      <c r="E12" s="9">
        <v>55.3</v>
      </c>
      <c r="F12" s="29">
        <f t="shared" si="0"/>
        <v>41.602500000000035</v>
      </c>
      <c r="G12" s="10">
        <f>(D12-$C$17)/$C$18</f>
        <v>0.73378839590443723</v>
      </c>
      <c r="H12" s="30">
        <f t="shared" si="1"/>
        <v>0.30478813376117148</v>
      </c>
      <c r="I12" s="11">
        <f>H12*(($C$15*4.5)/($C$18))</f>
        <v>15.603488076510487</v>
      </c>
      <c r="J12" s="31">
        <f t="shared" si="3"/>
        <v>81</v>
      </c>
      <c r="K12" s="11">
        <f t="shared" si="4"/>
        <v>82.390987594138565</v>
      </c>
      <c r="L12" s="8">
        <f t="shared" si="2"/>
        <v>1.390987594138565</v>
      </c>
    </row>
    <row r="13" spans="2:12" x14ac:dyDescent="0.35">
      <c r="B13" s="4" t="s">
        <v>21</v>
      </c>
      <c r="C13" s="9">
        <v>11</v>
      </c>
      <c r="D13" s="29">
        <v>66.25</v>
      </c>
      <c r="E13" s="9">
        <v>55.3</v>
      </c>
      <c r="F13" s="29">
        <f t="shared" si="0"/>
        <v>119.90250000000006</v>
      </c>
      <c r="G13" s="10">
        <f>(D13-$C$17)/$C$18</f>
        <v>1.245733788395905</v>
      </c>
      <c r="H13" s="30">
        <f t="shared" si="1"/>
        <v>0.18363103770214753</v>
      </c>
      <c r="I13" s="11">
        <f>H13*(($C$15*4.5)/($C$18))</f>
        <v>9.4009063670041417</v>
      </c>
      <c r="J13" s="31">
        <f t="shared" si="3"/>
        <v>92</v>
      </c>
      <c r="K13" s="11">
        <f t="shared" si="4"/>
        <v>91.791893961142705</v>
      </c>
      <c r="L13" s="8">
        <f t="shared" si="2"/>
        <v>0.20810603885729506</v>
      </c>
    </row>
    <row r="14" spans="2:12" ht="17.25" thickBot="1" x14ac:dyDescent="0.4">
      <c r="B14" s="12" t="s">
        <v>22</v>
      </c>
      <c r="C14" s="13">
        <v>8</v>
      </c>
      <c r="D14" s="14">
        <v>70.75</v>
      </c>
      <c r="E14" s="13">
        <v>55.3</v>
      </c>
      <c r="F14" s="14">
        <f t="shared" si="0"/>
        <v>238.7025000000001</v>
      </c>
      <c r="G14" s="15">
        <f>(D14-$C$17)/$C$18</f>
        <v>1.7576791808873724</v>
      </c>
      <c r="H14" s="16">
        <f t="shared" si="1"/>
        <v>8.5128335066961505E-2</v>
      </c>
      <c r="I14" s="17">
        <f>H14*(($C$15*4.5)/($C$18))</f>
        <v>4.3581058908000774</v>
      </c>
      <c r="J14" s="18">
        <f>J13+C14</f>
        <v>100</v>
      </c>
      <c r="K14" s="17">
        <f t="shared" si="4"/>
        <v>96.149999851942781</v>
      </c>
      <c r="L14" s="19">
        <f t="shared" si="2"/>
        <v>3.8500001480572195</v>
      </c>
    </row>
    <row r="15" spans="2:12" ht="17.25" thickBot="1" x14ac:dyDescent="0.4">
      <c r="B15" s="21" t="s">
        <v>8</v>
      </c>
      <c r="C15" s="27">
        <f>SUM(C7:C14)</f>
        <v>100</v>
      </c>
      <c r="I15" s="28">
        <f>SUM(I7:I14)</f>
        <v>96.149999851942781</v>
      </c>
    </row>
    <row r="16" spans="2:12" ht="17.25" thickBot="1" x14ac:dyDescent="0.4">
      <c r="K16" s="20" t="s">
        <v>13</v>
      </c>
      <c r="L16" s="24">
        <f>MAX(L7:L14)</f>
        <v>6.7224291308334756</v>
      </c>
    </row>
    <row r="17" spans="2:12" ht="17.25" thickBot="1" x14ac:dyDescent="0.4">
      <c r="B17" s="20" t="s">
        <v>2</v>
      </c>
      <c r="C17" s="22">
        <f>55.3</f>
        <v>55.3</v>
      </c>
      <c r="K17" s="21" t="s">
        <v>14</v>
      </c>
      <c r="L17" s="25">
        <f>L16/10</f>
        <v>0.6722429130833476</v>
      </c>
    </row>
    <row r="18" spans="2:12" ht="17.25" thickBot="1" x14ac:dyDescent="0.4">
      <c r="B18" s="21" t="s">
        <v>5</v>
      </c>
      <c r="C18" s="23">
        <v>8.7899999999999991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Frolov</dc:creator>
  <cp:lastModifiedBy>Andrew Frolov</cp:lastModifiedBy>
  <dcterms:created xsi:type="dcterms:W3CDTF">2025-11-16T13:14:18Z</dcterms:created>
  <dcterms:modified xsi:type="dcterms:W3CDTF">2025-11-30T12:32:22Z</dcterms:modified>
</cp:coreProperties>
</file>