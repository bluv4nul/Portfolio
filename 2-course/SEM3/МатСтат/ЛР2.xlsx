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\Portfolio\2-course\МатСтат\"/>
    </mc:Choice>
  </mc:AlternateContent>
  <xr:revisionPtr revIDLastSave="0" documentId="13_ncr:1_{0E09A5E8-A3AF-4246-9C1A-3E7C8E194DB0}" xr6:coauthVersionLast="47" xr6:coauthVersionMax="47" xr10:uidLastSave="{00000000-0000-0000-0000-000000000000}"/>
  <bookViews>
    <workbookView xWindow="7215" yWindow="15" windowWidth="14610" windowHeight="16305" firstSheet="1" activeTab="1" xr2:uid="{CD336DBB-A2C6-644E-9027-4C51C5D34E71}"/>
  </bookViews>
  <sheets>
    <sheet name="Задание 1" sheetId="2" r:id="rId1"/>
    <sheet name="Задание 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3" l="1"/>
  <c r="E27" i="3" l="1"/>
  <c r="G19" i="3"/>
  <c r="E25" i="3"/>
  <c r="E24" i="3"/>
  <c r="E23" i="3"/>
  <c r="S24" i="3" l="1"/>
  <c r="S25" i="3"/>
  <c r="S26" i="3"/>
  <c r="S27" i="3"/>
  <c r="S28" i="3"/>
  <c r="S29" i="3"/>
  <c r="S30" i="3"/>
  <c r="S23" i="3"/>
  <c r="R30" i="3"/>
  <c r="T30" i="3" s="1"/>
  <c r="R29" i="3"/>
  <c r="T29" i="3" s="1"/>
  <c r="R28" i="3"/>
  <c r="T28" i="3" s="1"/>
  <c r="R27" i="3"/>
  <c r="T27" i="3" s="1"/>
  <c r="R26" i="3"/>
  <c r="T26" i="3" s="1"/>
  <c r="R25" i="3"/>
  <c r="T25" i="3" s="1"/>
  <c r="R24" i="3"/>
  <c r="T24" i="3" s="1"/>
  <c r="R23" i="3"/>
  <c r="T23" i="3" s="1"/>
  <c r="M24" i="3"/>
  <c r="M25" i="3"/>
  <c r="M26" i="3"/>
  <c r="M27" i="3"/>
  <c r="M28" i="3"/>
  <c r="M29" i="3"/>
  <c r="M30" i="3"/>
  <c r="M23" i="3"/>
  <c r="L24" i="3"/>
  <c r="L25" i="3"/>
  <c r="L26" i="3"/>
  <c r="L27" i="3"/>
  <c r="L28" i="3"/>
  <c r="L29" i="3"/>
  <c r="L30" i="3"/>
  <c r="L23" i="3"/>
  <c r="K24" i="3"/>
  <c r="K25" i="3"/>
  <c r="K26" i="3"/>
  <c r="K27" i="3"/>
  <c r="K28" i="3"/>
  <c r="K29" i="3"/>
  <c r="K30" i="3"/>
  <c r="K23" i="3"/>
  <c r="K19" i="3"/>
  <c r="M19" i="3"/>
  <c r="F17" i="2"/>
  <c r="T15" i="3"/>
  <c r="R15" i="3"/>
  <c r="P15" i="3"/>
  <c r="N15" i="3"/>
  <c r="L15" i="3"/>
  <c r="J15" i="3"/>
  <c r="H15" i="3"/>
  <c r="F15" i="3"/>
  <c r="C18" i="3"/>
  <c r="F19" i="3" s="1"/>
  <c r="C17" i="3"/>
  <c r="C16" i="3"/>
  <c r="E28" i="3" s="1"/>
  <c r="C15" i="3"/>
  <c r="C14" i="3"/>
  <c r="F14" i="3" s="1"/>
  <c r="G14" i="3" s="1"/>
  <c r="H14" i="3" s="1"/>
  <c r="X22" i="2"/>
  <c r="X17" i="2"/>
  <c r="X18" i="2"/>
  <c r="X19" i="2"/>
  <c r="X20" i="2"/>
  <c r="X21" i="2"/>
  <c r="W17" i="2"/>
  <c r="W18" i="2"/>
  <c r="W19" i="2"/>
  <c r="W20" i="2"/>
  <c r="W21" i="2"/>
  <c r="W22" i="2"/>
  <c r="W16" i="2"/>
  <c r="X16" i="2"/>
  <c r="T16" i="2"/>
  <c r="V22" i="2"/>
  <c r="T22" i="2"/>
  <c r="V21" i="2"/>
  <c r="T21" i="2"/>
  <c r="V20" i="2"/>
  <c r="T20" i="2"/>
  <c r="V19" i="2"/>
  <c r="T19" i="2"/>
  <c r="V18" i="2"/>
  <c r="T18" i="2"/>
  <c r="V17" i="2"/>
  <c r="T17" i="2"/>
  <c r="V16" i="2"/>
  <c r="Q17" i="2"/>
  <c r="Q18" i="2"/>
  <c r="Q19" i="2"/>
  <c r="Q20" i="2"/>
  <c r="Q21" i="2"/>
  <c r="Q22" i="2"/>
  <c r="Q16" i="2"/>
  <c r="M22" i="2"/>
  <c r="M21" i="2"/>
  <c r="M20" i="2"/>
  <c r="M19" i="2"/>
  <c r="M18" i="2"/>
  <c r="M17" i="2"/>
  <c r="M16" i="2"/>
  <c r="O16" i="2"/>
  <c r="P16" i="2" s="1"/>
  <c r="O17" i="2"/>
  <c r="P17" i="2"/>
  <c r="O18" i="2"/>
  <c r="P18" i="2" s="1"/>
  <c r="O19" i="2"/>
  <c r="P19" i="2" s="1"/>
  <c r="O20" i="2"/>
  <c r="P20" i="2" s="1"/>
  <c r="O21" i="2"/>
  <c r="P21" i="2"/>
  <c r="O22" i="2"/>
  <c r="P22" i="2" s="1"/>
  <c r="D17" i="2"/>
  <c r="E17" i="2"/>
  <c r="G17" i="2"/>
  <c r="H17" i="2"/>
  <c r="I17" i="2"/>
  <c r="C17" i="2"/>
  <c r="E21" i="2"/>
  <c r="E22" i="2" s="1"/>
  <c r="E20" i="2"/>
  <c r="E19" i="2"/>
  <c r="I15" i="2"/>
  <c r="H15" i="2"/>
  <c r="G15" i="2"/>
  <c r="F13" i="2"/>
  <c r="F9" i="2"/>
  <c r="R10" i="2"/>
  <c r="P10" i="2"/>
  <c r="O10" i="2"/>
  <c r="N10" i="2"/>
  <c r="L10" i="2"/>
  <c r="J10" i="2"/>
  <c r="I10" i="2"/>
  <c r="H10" i="2"/>
  <c r="G10" i="2"/>
  <c r="F10" i="2"/>
  <c r="C12" i="2"/>
  <c r="C10" i="2"/>
  <c r="C9" i="2"/>
  <c r="I14" i="3" l="1"/>
  <c r="J14" i="3" s="1"/>
  <c r="K14" i="3" s="1"/>
  <c r="L14" i="3" s="1"/>
  <c r="I17" i="3" s="1"/>
  <c r="G17" i="3"/>
  <c r="L19" i="3"/>
  <c r="J19" i="3"/>
  <c r="H19" i="3"/>
  <c r="I19" i="3"/>
  <c r="H17" i="3"/>
  <c r="F17" i="3"/>
  <c r="M14" i="3"/>
  <c r="N14" i="3" s="1"/>
  <c r="E25" i="2"/>
  <c r="E24" i="2"/>
  <c r="C13" i="2"/>
  <c r="G13" i="2"/>
  <c r="H13" i="2" s="1"/>
  <c r="I13" i="2" s="1"/>
  <c r="J13" i="2" s="1"/>
  <c r="K13" i="2"/>
  <c r="L13" i="2" s="1"/>
  <c r="M13" i="2" s="1"/>
  <c r="G9" i="2"/>
  <c r="H9" i="2" s="1"/>
  <c r="C15" i="2"/>
  <c r="O14" i="3" l="1"/>
  <c r="P14" i="3" s="1"/>
  <c r="J17" i="3"/>
  <c r="I9" i="2"/>
  <c r="J9" i="2" s="1"/>
  <c r="D15" i="2"/>
  <c r="Q14" i="3" l="1"/>
  <c r="R14" i="3" s="1"/>
  <c r="K17" i="3"/>
  <c r="K9" i="2"/>
  <c r="L9" i="2" s="1"/>
  <c r="E15" i="2"/>
  <c r="S14" i="3" l="1"/>
  <c r="T14" i="3" s="1"/>
  <c r="L17" i="3"/>
  <c r="M9" i="2"/>
  <c r="N9" i="2" s="1"/>
  <c r="O9" i="2" s="1"/>
  <c r="P9" i="2" s="1"/>
  <c r="Q9" i="2" s="1"/>
  <c r="R9" i="2" s="1"/>
  <c r="S9" i="2" s="1"/>
  <c r="F15" i="2"/>
  <c r="U14" i="3" l="1"/>
  <c r="M17" i="3"/>
  <c r="E22" i="3" s="1"/>
</calcChain>
</file>

<file path=xl/sharedStrings.xml><?xml version="1.0" encoding="utf-8"?>
<sst xmlns="http://schemas.openxmlformats.org/spreadsheetml/2006/main" count="67" uniqueCount="31">
  <si>
    <t>k</t>
  </si>
  <si>
    <t>n</t>
  </si>
  <si>
    <t>h</t>
  </si>
  <si>
    <t>Первоначальный ряд</t>
  </si>
  <si>
    <t>Xmin</t>
  </si>
  <si>
    <t>Xmax</t>
  </si>
  <si>
    <t>Mxi</t>
  </si>
  <si>
    <t>X</t>
  </si>
  <si>
    <t>M</t>
  </si>
  <si>
    <t>Xср</t>
  </si>
  <si>
    <t>Средняя арифметическая</t>
  </si>
  <si>
    <t>Дисперсия</t>
  </si>
  <si>
    <t>Ср. кв. отклонение</t>
  </si>
  <si>
    <t>Коэфф. Вариации, %</t>
  </si>
  <si>
    <t>Плотн.</t>
  </si>
  <si>
    <t>Колебание плотности</t>
  </si>
  <si>
    <t>от 1,91 до 10,82</t>
  </si>
  <si>
    <t>Коэфф Ассиметрии</t>
  </si>
  <si>
    <t>Ср.Ариф</t>
  </si>
  <si>
    <t>Xср-Ср.А</t>
  </si>
  <si>
    <t>Эксесс</t>
  </si>
  <si>
    <t>1.1 Различия в обеспеченности хозяйств рабочей силой являются весьма большими, о чём свидетельствует высокий коэффициент вариации, превышающий 28%.</t>
  </si>
  <si>
    <r>
      <t>1.2</t>
    </r>
    <r>
      <rPr>
        <sz val="12"/>
        <color theme="1"/>
        <rFont val="Rockwell"/>
        <family val="1"/>
      </rPr>
      <t> Рассматриваемое распределение не является симметричным, обладает положительной асимметрией и плосковершинностью, поэтому его нельзя считать нормальным.</t>
    </r>
  </si>
  <si>
    <t>Плотн</t>
  </si>
  <si>
    <t>от 1,1 до 4,7</t>
  </si>
  <si>
    <t>Ср.Ар</t>
  </si>
  <si>
    <t>Xcр-Ср.А</t>
  </si>
  <si>
    <t>4ст^3</t>
  </si>
  <si>
    <t>5ст*M</t>
  </si>
  <si>
    <t>4ст^4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</si>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</sst>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Rockwell"/>
      <family val="1"/>
    </font>
    <font>
      <sz val="12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1" fontId="0" fillId="0" borderId="3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2" fontId="0" fillId="0" borderId="0" xfId="0" applyNumberFormat="1"/>
    <xf numFmtId="0" fontId="0" fillId="0" borderId="11" xfId="0" applyBorder="1"/>
    <xf numFmtId="164" fontId="0" fillId="0" borderId="4" xfId="0" applyNumberFormat="1" applyBorder="1"/>
    <xf numFmtId="0" fontId="0" fillId="0" borderId="12" xfId="0" applyBorder="1"/>
    <xf numFmtId="164" fontId="0" fillId="0" borderId="2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9" xfId="0" applyNumberFormat="1" applyBorder="1"/>
    <xf numFmtId="2" fontId="0" fillId="0" borderId="5" xfId="0" applyNumberFormat="1" applyBorder="1"/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/>
    <xf numFmtId="0" fontId="2" fillId="0" borderId="0" xfId="0" applyFont="1"/>
    <xf numFmtId="164" fontId="0" fillId="0" borderId="12" xfId="0" applyNumberFormat="1" applyBorder="1"/>
    <xf numFmtId="164" fontId="0" fillId="0" borderId="2" xfId="0" applyNumberFormat="1" applyBorder="1"/>
    <xf numFmtId="164" fontId="0" fillId="0" borderId="11" xfId="0" applyNumberFormat="1" applyBorder="1"/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24" xfId="0" applyBorder="1"/>
    <xf numFmtId="0" fontId="0" fillId="0" borderId="9" xfId="0" applyBorder="1"/>
    <xf numFmtId="0" fontId="0" fillId="0" borderId="5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Гистрограмма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Гистрограмма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3'!$F$14:$U$14</c:f>
              <c:numCache>
                <c:formatCode>0.0</c:formatCode>
                <c:ptCount val="16"/>
                <c:pt idx="0">
                  <c:v>37</c:v>
                </c:pt>
                <c:pt idx="1">
                  <c:v>41.5</c:v>
                </c:pt>
                <c:pt idx="2">
                  <c:v>41.5</c:v>
                </c:pt>
                <c:pt idx="3">
                  <c:v>46</c:v>
                </c:pt>
                <c:pt idx="4">
                  <c:v>46</c:v>
                </c:pt>
                <c:pt idx="5">
                  <c:v>50.5</c:v>
                </c:pt>
                <c:pt idx="6">
                  <c:v>50.5</c:v>
                </c:pt>
                <c:pt idx="7">
                  <c:v>55</c:v>
                </c:pt>
                <c:pt idx="8">
                  <c:v>55</c:v>
                </c:pt>
                <c:pt idx="9">
                  <c:v>59.5</c:v>
                </c:pt>
                <c:pt idx="10">
                  <c:v>59.5</c:v>
                </c:pt>
                <c:pt idx="11">
                  <c:v>64</c:v>
                </c:pt>
                <c:pt idx="12">
                  <c:v>64</c:v>
                </c:pt>
                <c:pt idx="13">
                  <c:v>68.5</c:v>
                </c:pt>
                <c:pt idx="14">
                  <c:v>68.5</c:v>
                </c:pt>
                <c:pt idx="15">
                  <c:v>73</c:v>
                </c:pt>
              </c:numCache>
            </c:numRef>
          </c:xVal>
          <c:yVal>
            <c:numRef>
              <c:f>'Задание 3'!$F$15:$U$15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11</c:v>
                </c:pt>
                <c:pt idx="3">
                  <c:v>11</c:v>
                </c:pt>
                <c:pt idx="4">
                  <c:v>18</c:v>
                </c:pt>
                <c:pt idx="5">
                  <c:v>18</c:v>
                </c:pt>
                <c:pt idx="6">
                  <c:v>13</c:v>
                </c:pt>
                <c:pt idx="7">
                  <c:v>13</c:v>
                </c:pt>
                <c:pt idx="8">
                  <c:v>21</c:v>
                </c:pt>
                <c:pt idx="9">
                  <c:v>21</c:v>
                </c:pt>
                <c:pt idx="10">
                  <c:v>13</c:v>
                </c:pt>
                <c:pt idx="11">
                  <c:v>13</c:v>
                </c:pt>
                <c:pt idx="12">
                  <c:v>11</c:v>
                </c:pt>
                <c:pt idx="13">
                  <c:v>11</c:v>
                </c:pt>
                <c:pt idx="14">
                  <c:v>8</c:v>
                </c:pt>
                <c:pt idx="1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8-4F9D-BB76-A4F930FFEC3C}"/>
            </c:ext>
          </c:extLst>
        </c:ser>
        <c:ser>
          <c:idx val="1"/>
          <c:order val="1"/>
          <c:tx>
            <c:v>Полигон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'Задание 3'!$F$17:$M$17</c:f>
              <c:numCache>
                <c:formatCode>General</c:formatCode>
                <c:ptCount val="8"/>
                <c:pt idx="0">
                  <c:v>39.25</c:v>
                </c:pt>
                <c:pt idx="1">
                  <c:v>43.75</c:v>
                </c:pt>
                <c:pt idx="2">
                  <c:v>48.25</c:v>
                </c:pt>
                <c:pt idx="3">
                  <c:v>52.75</c:v>
                </c:pt>
                <c:pt idx="4">
                  <c:v>57.25</c:v>
                </c:pt>
                <c:pt idx="5">
                  <c:v>61.75</c:v>
                </c:pt>
                <c:pt idx="6">
                  <c:v>66.25</c:v>
                </c:pt>
                <c:pt idx="7">
                  <c:v>70.75</c:v>
                </c:pt>
              </c:numCache>
            </c:numRef>
          </c:xVal>
          <c:yVal>
            <c:numRef>
              <c:f>'Задание 3'!$F$18:$M$18</c:f>
              <c:numCache>
                <c:formatCode>General</c:formatCode>
                <c:ptCount val="8"/>
                <c:pt idx="0">
                  <c:v>5</c:v>
                </c:pt>
                <c:pt idx="1">
                  <c:v>11</c:v>
                </c:pt>
                <c:pt idx="2">
                  <c:v>18</c:v>
                </c:pt>
                <c:pt idx="3">
                  <c:v>13</c:v>
                </c:pt>
                <c:pt idx="4">
                  <c:v>21</c:v>
                </c:pt>
                <c:pt idx="5">
                  <c:v>13</c:v>
                </c:pt>
                <c:pt idx="6">
                  <c:v>11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48-4F9D-BB76-A4F930FFE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3977711"/>
        <c:axId val="1923978671"/>
      </c:scatterChart>
      <c:valAx>
        <c:axId val="1923977711"/>
        <c:scaling>
          <c:orientation val="minMax"/>
          <c:min val="3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978671"/>
        <c:crosses val="autoZero"/>
        <c:crossBetween val="midCat"/>
        <c:majorUnit val="4.5"/>
        <c:minorUnit val="0.1"/>
      </c:valAx>
      <c:valAx>
        <c:axId val="192397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23977711"/>
        <c:crosses val="autoZero"/>
        <c:crossBetween val="midCat"/>
        <c:majorUnit val="1"/>
        <c:minorUnit val="0.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47624</xdr:colOff>
      <xdr:row>34</xdr:row>
      <xdr:rowOff>2718</xdr:rowOff>
    </xdr:from>
    <xdr:to>
      <xdr:col>11</xdr:col>
      <xdr:colOff>612321</xdr:colOff>
      <xdr:row>58</xdr:row>
      <xdr:rowOff>163284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DBA5337-C42E-83FC-B973-FC32E86D0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472D-B074-432E-8EFC-C44DCA8AACBB}">
  <dimension ref="B1:AN29"/>
  <sheetViews>
    <sheetView topLeftCell="A6" workbookViewId="0">
      <selection activeCell="E24" sqref="E24:F24"/>
    </sheetView>
  </sheetViews>
  <sheetFormatPr defaultColWidth="7.625" defaultRowHeight="15.75" x14ac:dyDescent="0.25"/>
  <cols>
    <col min="3" max="3" width="7.625" customWidth="1"/>
  </cols>
  <sheetData>
    <row r="1" spans="2:40" ht="16.5" thickBot="1" x14ac:dyDescent="0.3"/>
    <row r="2" spans="2:40" ht="16.5" thickBot="1" x14ac:dyDescent="0.3">
      <c r="B2" s="52" t="s">
        <v>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4"/>
    </row>
    <row r="3" spans="2:40" x14ac:dyDescent="0.25">
      <c r="B3" s="12">
        <v>12</v>
      </c>
      <c r="C3" s="13">
        <v>6</v>
      </c>
      <c r="D3" s="13">
        <v>8</v>
      </c>
      <c r="E3" s="13">
        <v>6</v>
      </c>
      <c r="F3" s="13">
        <v>10</v>
      </c>
      <c r="G3" s="13">
        <v>11</v>
      </c>
      <c r="H3" s="13">
        <v>7</v>
      </c>
      <c r="I3" s="13">
        <v>10</v>
      </c>
      <c r="J3" s="13">
        <v>12</v>
      </c>
      <c r="K3" s="13">
        <v>8</v>
      </c>
      <c r="L3" s="13">
        <v>7</v>
      </c>
      <c r="M3" s="13">
        <v>7</v>
      </c>
      <c r="N3" s="13">
        <v>6</v>
      </c>
      <c r="O3" s="13">
        <v>7</v>
      </c>
      <c r="P3" s="13">
        <v>8</v>
      </c>
      <c r="Q3" s="13">
        <v>6</v>
      </c>
      <c r="R3" s="13">
        <v>11</v>
      </c>
      <c r="S3" s="13">
        <v>9</v>
      </c>
      <c r="T3" s="14">
        <v>11</v>
      </c>
      <c r="V3" s="21">
        <v>8.6</v>
      </c>
      <c r="W3" s="23">
        <v>8.6</v>
      </c>
      <c r="X3" s="23">
        <v>8.6</v>
      </c>
      <c r="Y3" s="23">
        <v>8.6</v>
      </c>
      <c r="Z3" s="23">
        <v>8.6</v>
      </c>
      <c r="AA3" s="23">
        <v>8.6</v>
      </c>
      <c r="AB3" s="23">
        <v>8.6</v>
      </c>
      <c r="AC3" s="23">
        <v>8.6</v>
      </c>
      <c r="AD3" s="23">
        <v>8.6</v>
      </c>
      <c r="AE3" s="23">
        <v>8.6</v>
      </c>
      <c r="AF3" s="23">
        <v>8.6</v>
      </c>
      <c r="AG3" s="23">
        <v>8.6</v>
      </c>
      <c r="AH3" s="23">
        <v>8.6</v>
      </c>
      <c r="AI3" s="23">
        <v>8.6</v>
      </c>
      <c r="AJ3" s="23">
        <v>8.6</v>
      </c>
      <c r="AK3" s="23">
        <v>8.6</v>
      </c>
      <c r="AL3" s="23">
        <v>8.6</v>
      </c>
      <c r="AM3" s="23">
        <v>8.6</v>
      </c>
      <c r="AN3" s="1">
        <v>8.6</v>
      </c>
    </row>
    <row r="4" spans="2:40" x14ac:dyDescent="0.25">
      <c r="B4" s="15">
        <v>9</v>
      </c>
      <c r="C4" s="11">
        <v>10</v>
      </c>
      <c r="D4" s="11">
        <v>11</v>
      </c>
      <c r="E4" s="11">
        <v>9</v>
      </c>
      <c r="F4" s="11">
        <v>10</v>
      </c>
      <c r="G4" s="11">
        <v>7</v>
      </c>
      <c r="H4" s="11">
        <v>8</v>
      </c>
      <c r="I4" s="11">
        <v>8</v>
      </c>
      <c r="J4" s="11">
        <v>8</v>
      </c>
      <c r="K4" s="11">
        <v>11</v>
      </c>
      <c r="L4" s="11">
        <v>9</v>
      </c>
      <c r="M4" s="11">
        <v>8</v>
      </c>
      <c r="N4" s="11">
        <v>7</v>
      </c>
      <c r="O4" s="11">
        <v>5</v>
      </c>
      <c r="P4" s="11">
        <v>9</v>
      </c>
      <c r="Q4" s="11">
        <v>7</v>
      </c>
      <c r="R4" s="11">
        <v>7</v>
      </c>
      <c r="S4" s="11">
        <v>14</v>
      </c>
      <c r="T4" s="16">
        <v>11</v>
      </c>
      <c r="V4" s="9">
        <v>8.6</v>
      </c>
      <c r="W4">
        <v>8.6</v>
      </c>
      <c r="X4">
        <v>8.6</v>
      </c>
      <c r="Y4">
        <v>8.6</v>
      </c>
      <c r="Z4">
        <v>8.6</v>
      </c>
      <c r="AA4">
        <v>8.6</v>
      </c>
      <c r="AB4">
        <v>8.6</v>
      </c>
      <c r="AC4">
        <v>8.6</v>
      </c>
      <c r="AD4">
        <v>8.6</v>
      </c>
      <c r="AE4">
        <v>8.6</v>
      </c>
      <c r="AF4">
        <v>8.6</v>
      </c>
      <c r="AG4">
        <v>8.6</v>
      </c>
      <c r="AH4">
        <v>8.6</v>
      </c>
      <c r="AI4">
        <v>8.6</v>
      </c>
      <c r="AJ4">
        <v>8.6</v>
      </c>
      <c r="AK4">
        <v>8.6</v>
      </c>
      <c r="AL4">
        <v>8.6</v>
      </c>
      <c r="AM4">
        <v>8.6</v>
      </c>
      <c r="AN4" s="2">
        <v>8.6</v>
      </c>
    </row>
    <row r="5" spans="2:40" x14ac:dyDescent="0.25">
      <c r="B5" s="15">
        <v>9</v>
      </c>
      <c r="C5" s="11">
        <v>8</v>
      </c>
      <c r="D5" s="11">
        <v>7</v>
      </c>
      <c r="E5" s="11">
        <v>4</v>
      </c>
      <c r="F5" s="11">
        <v>7</v>
      </c>
      <c r="G5" s="11">
        <v>5</v>
      </c>
      <c r="H5" s="11">
        <v>5</v>
      </c>
      <c r="I5" s="11">
        <v>10</v>
      </c>
      <c r="J5" s="11">
        <v>7</v>
      </c>
      <c r="K5" s="11">
        <v>7</v>
      </c>
      <c r="L5" s="11">
        <v>5</v>
      </c>
      <c r="M5" s="11">
        <v>8</v>
      </c>
      <c r="N5" s="11">
        <v>10</v>
      </c>
      <c r="O5" s="11">
        <v>10</v>
      </c>
      <c r="P5" s="11">
        <v>15</v>
      </c>
      <c r="Q5" s="11">
        <v>10</v>
      </c>
      <c r="R5" s="11">
        <v>10</v>
      </c>
      <c r="S5" s="11">
        <v>13</v>
      </c>
      <c r="T5" s="16">
        <v>12</v>
      </c>
      <c r="V5" s="9">
        <v>8.6</v>
      </c>
      <c r="W5">
        <v>8.6</v>
      </c>
      <c r="X5">
        <v>8.6</v>
      </c>
      <c r="Y5">
        <v>8.6</v>
      </c>
      <c r="Z5">
        <v>8.6</v>
      </c>
      <c r="AA5">
        <v>8.6</v>
      </c>
      <c r="AB5">
        <v>8.6</v>
      </c>
      <c r="AC5">
        <v>8.6</v>
      </c>
      <c r="AD5">
        <v>8.6</v>
      </c>
      <c r="AE5">
        <v>8.6</v>
      </c>
      <c r="AF5">
        <v>8.6</v>
      </c>
      <c r="AG5">
        <v>8.6</v>
      </c>
      <c r="AH5">
        <v>8.6</v>
      </c>
      <c r="AI5">
        <v>8.6</v>
      </c>
      <c r="AJ5">
        <v>8.6</v>
      </c>
      <c r="AK5">
        <v>8.6</v>
      </c>
      <c r="AL5">
        <v>8.6</v>
      </c>
      <c r="AM5">
        <v>8.6</v>
      </c>
      <c r="AN5" s="2">
        <v>8.6</v>
      </c>
    </row>
    <row r="6" spans="2:40" ht="16.5" thickBot="1" x14ac:dyDescent="0.3">
      <c r="B6" s="17">
        <v>11</v>
      </c>
      <c r="C6" s="18">
        <v>15</v>
      </c>
      <c r="D6" s="18">
        <v>6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9"/>
      <c r="V6" s="10">
        <v>8.6</v>
      </c>
      <c r="W6" s="4">
        <v>8.6</v>
      </c>
      <c r="X6" s="4">
        <v>8.6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3"/>
    </row>
    <row r="8" spans="2:40" ht="16.5" thickBot="1" x14ac:dyDescent="0.3"/>
    <row r="9" spans="2:40" x14ac:dyDescent="0.25">
      <c r="B9" s="26" t="s">
        <v>4</v>
      </c>
      <c r="C9" s="1">
        <f>MIN(B3:T6)</f>
        <v>4</v>
      </c>
      <c r="E9" s="26" t="s">
        <v>7</v>
      </c>
      <c r="F9" s="6">
        <f>4</f>
        <v>4</v>
      </c>
      <c r="G9" s="24">
        <f>F9+C13</f>
        <v>5.5714285714285712</v>
      </c>
      <c r="H9" s="25">
        <f>G9</f>
        <v>5.5714285714285712</v>
      </c>
      <c r="I9" s="24">
        <f>H9+$C$13</f>
        <v>7.1428571428571423</v>
      </c>
      <c r="J9" s="25">
        <f>I9</f>
        <v>7.1428571428571423</v>
      </c>
      <c r="K9" s="24">
        <f>J9+$C$13</f>
        <v>8.7142857142857135</v>
      </c>
      <c r="L9" s="25">
        <f t="shared" ref="L9" si="0">K9</f>
        <v>8.7142857142857135</v>
      </c>
      <c r="M9" s="24">
        <f t="shared" ref="M9" si="1">L9+$C$13</f>
        <v>10.285714285714285</v>
      </c>
      <c r="N9" s="25">
        <f t="shared" ref="N9" si="2">M9</f>
        <v>10.285714285714285</v>
      </c>
      <c r="O9" s="24">
        <f t="shared" ref="O9" si="3">N9+$C$13</f>
        <v>11.857142857142856</v>
      </c>
      <c r="P9" s="25">
        <f t="shared" ref="P9" si="4">O9</f>
        <v>11.857142857142856</v>
      </c>
      <c r="Q9" s="24">
        <f t="shared" ref="Q9" si="5">P9+$C$13</f>
        <v>13.428571428571427</v>
      </c>
      <c r="R9" s="25">
        <f t="shared" ref="R9" si="6">Q9</f>
        <v>13.428571428571427</v>
      </c>
      <c r="S9" s="24">
        <f t="shared" ref="S9" si="7">R9+$C$13</f>
        <v>14.999999999999998</v>
      </c>
    </row>
    <row r="10" spans="2:40" ht="16.5" thickBot="1" x14ac:dyDescent="0.3">
      <c r="B10" s="27" t="s">
        <v>5</v>
      </c>
      <c r="C10" s="2">
        <f>MAX(B3:T6)</f>
        <v>15</v>
      </c>
      <c r="E10" s="28" t="s">
        <v>8</v>
      </c>
      <c r="F10" s="29">
        <f>COUNTIFS(B3:T6,"&gt;=4",B3:T6,"&lt;5,6")</f>
        <v>5</v>
      </c>
      <c r="G10" s="32">
        <f>COUNTIFS(B3:T6,"&gt;=4",B3:T6,"&lt;5,6")</f>
        <v>5</v>
      </c>
      <c r="H10" s="29">
        <f>COUNTIFS(B3:T6,"&gt;=5,6",B3:T6,"&lt;7,1")</f>
        <v>17</v>
      </c>
      <c r="I10" s="32">
        <f>COUNTIFS(B3:T6,"&gt;=5,6",B3:T6,"&lt;7,1")</f>
        <v>17</v>
      </c>
      <c r="J10" s="29">
        <f>COUNTIFS(B3:T6,"&gt;=7,1",B3:T6,"&lt;8,7")</f>
        <v>9</v>
      </c>
      <c r="K10" s="32">
        <v>9</v>
      </c>
      <c r="L10" s="29">
        <f>COUNTIFS(B3:T6,"&gt;=8,7",B3:T6,"&lt;10,3")</f>
        <v>15</v>
      </c>
      <c r="M10" s="32">
        <v>15</v>
      </c>
      <c r="N10" s="29">
        <f>COUNTIFS(B3:T6,"&gt;=10,3",B3:T6,"&lt;11,9")</f>
        <v>7</v>
      </c>
      <c r="O10" s="32">
        <f>COUNTIFS(B3:T6,"&gt;=10,3",B3:T6,"&lt;11,9")</f>
        <v>7</v>
      </c>
      <c r="P10" s="29">
        <f>COUNTIFS(B3:T6,"&gt;=11,9",B3:T6,"&lt;13,4")</f>
        <v>4</v>
      </c>
      <c r="Q10" s="32">
        <v>4</v>
      </c>
      <c r="R10" s="29">
        <f>COUNTIFS(B3:T6,"&gt;=13,4",B3:T6,"&lt;=15,0")</f>
        <v>3</v>
      </c>
      <c r="S10" s="32">
        <v>3</v>
      </c>
    </row>
    <row r="11" spans="2:40" ht="16.5" thickBot="1" x14ac:dyDescent="0.3">
      <c r="B11" s="27" t="s">
        <v>1</v>
      </c>
      <c r="C11" s="2">
        <v>60</v>
      </c>
    </row>
    <row r="12" spans="2:40" ht="16.5" thickBot="1" x14ac:dyDescent="0.3">
      <c r="B12" s="27" t="s">
        <v>0</v>
      </c>
      <c r="C12" s="5">
        <f>1+(3.322*LOG(60,10))</f>
        <v>6.9070184537744632</v>
      </c>
      <c r="E12" s="30" t="s">
        <v>7</v>
      </c>
      <c r="F12" s="36">
        <v>4</v>
      </c>
      <c r="G12" s="36">
        <v>5.6</v>
      </c>
      <c r="H12" s="36">
        <v>7.1</v>
      </c>
      <c r="I12" s="36">
        <v>8.6999999999999993</v>
      </c>
      <c r="J12" s="36">
        <v>10.3</v>
      </c>
      <c r="K12" s="36">
        <v>11.9</v>
      </c>
      <c r="L12" s="36">
        <v>13.4</v>
      </c>
      <c r="M12" s="37">
        <v>15</v>
      </c>
    </row>
    <row r="13" spans="2:40" ht="16.5" thickBot="1" x14ac:dyDescent="0.3">
      <c r="B13" s="28" t="s">
        <v>2</v>
      </c>
      <c r="C13" s="22">
        <f>(C10-C9)/7</f>
        <v>1.5714285714285714</v>
      </c>
      <c r="E13" s="28" t="s">
        <v>6</v>
      </c>
      <c r="F13" s="35">
        <f>0</f>
        <v>0</v>
      </c>
      <c r="G13" s="35">
        <f>F13+G10</f>
        <v>5</v>
      </c>
      <c r="H13" s="35">
        <f>G13+I10</f>
        <v>22</v>
      </c>
      <c r="I13" s="35">
        <f>H13+K10</f>
        <v>31</v>
      </c>
      <c r="J13" s="35">
        <f>I13+M10</f>
        <v>46</v>
      </c>
      <c r="K13" s="35">
        <f>J13+O10</f>
        <v>53</v>
      </c>
      <c r="L13" s="35">
        <f>K13+Q10</f>
        <v>57</v>
      </c>
      <c r="M13" s="32">
        <f>L13+S10</f>
        <v>60</v>
      </c>
    </row>
    <row r="14" spans="2:40" ht="16.5" thickBot="1" x14ac:dyDescent="0.3"/>
    <row r="15" spans="2:40" ht="16.5" thickBot="1" x14ac:dyDescent="0.3">
      <c r="B15" s="30" t="s">
        <v>9</v>
      </c>
      <c r="C15" s="33">
        <f>F9+(G9-F9)/2</f>
        <v>4.7857142857142856</v>
      </c>
      <c r="D15" s="33">
        <f>H9+(I9-H9)/2</f>
        <v>6.3571428571428568</v>
      </c>
      <c r="E15" s="33">
        <f>J9+(K9-J9)/2</f>
        <v>7.9285714285714279</v>
      </c>
      <c r="F15" s="33">
        <f>L9+(M9-L9)/2</f>
        <v>9.5</v>
      </c>
      <c r="G15" s="33">
        <f>N9+(O9-N9)/2</f>
        <v>11.071428571428569</v>
      </c>
      <c r="H15" s="33">
        <f>P9+(Q9-P9)/2</f>
        <v>12.642857142857142</v>
      </c>
      <c r="I15" s="34">
        <f>R9+(S9-R9)/2</f>
        <v>14.214285714285712</v>
      </c>
      <c r="L15" s="6" t="s">
        <v>9</v>
      </c>
      <c r="M15" s="7" t="s">
        <v>8</v>
      </c>
      <c r="N15" s="7" t="s">
        <v>18</v>
      </c>
      <c r="O15" s="7" t="s">
        <v>19</v>
      </c>
      <c r="P15" s="7" t="s">
        <v>27</v>
      </c>
      <c r="Q15" s="8" t="s">
        <v>28</v>
      </c>
      <c r="S15" s="6" t="s">
        <v>9</v>
      </c>
      <c r="T15" s="7" t="s">
        <v>8</v>
      </c>
      <c r="U15" s="7" t="s">
        <v>18</v>
      </c>
      <c r="V15" s="7" t="s">
        <v>19</v>
      </c>
      <c r="W15" s="7" t="s">
        <v>29</v>
      </c>
      <c r="X15" s="8" t="s">
        <v>28</v>
      </c>
    </row>
    <row r="16" spans="2:40" ht="16.5" thickBot="1" x14ac:dyDescent="0.3">
      <c r="B16" s="28" t="s">
        <v>8</v>
      </c>
      <c r="C16" s="35">
        <v>5</v>
      </c>
      <c r="D16" s="35">
        <v>17</v>
      </c>
      <c r="E16" s="35">
        <v>9</v>
      </c>
      <c r="F16" s="35">
        <v>15</v>
      </c>
      <c r="G16" s="35">
        <v>7</v>
      </c>
      <c r="H16" s="35">
        <v>4</v>
      </c>
      <c r="I16" s="32">
        <v>3</v>
      </c>
      <c r="L16" s="40">
        <v>4.8</v>
      </c>
      <c r="M16" s="31">
        <f>C16</f>
        <v>5</v>
      </c>
      <c r="N16" s="31">
        <v>8.6</v>
      </c>
      <c r="O16" s="31">
        <f t="shared" ref="O16:O22" si="8">L16-N16</f>
        <v>-3.8</v>
      </c>
      <c r="P16" s="31">
        <f>O16^3</f>
        <v>-54.871999999999993</v>
      </c>
      <c r="Q16" s="41">
        <f>P16*M16</f>
        <v>-274.35999999999996</v>
      </c>
      <c r="S16" s="40">
        <v>4.8</v>
      </c>
      <c r="T16" s="31">
        <f>5</f>
        <v>5</v>
      </c>
      <c r="U16" s="31">
        <v>8.6</v>
      </c>
      <c r="V16" s="31">
        <f t="shared" ref="V16:V22" si="9">S16-U16</f>
        <v>-3.8</v>
      </c>
      <c r="W16" s="31">
        <f>V16^4</f>
        <v>208.5136</v>
      </c>
      <c r="X16" s="41">
        <f>W16*T16</f>
        <v>1042.568</v>
      </c>
    </row>
    <row r="17" spans="2:24" ht="16.5" thickBot="1" x14ac:dyDescent="0.3">
      <c r="B17" s="30" t="s">
        <v>14</v>
      </c>
      <c r="C17" s="38">
        <f>C16/$C$13</f>
        <v>3.1818181818181821</v>
      </c>
      <c r="D17" s="38">
        <f t="shared" ref="D17:I17" si="10">D16/$C$13</f>
        <v>10.818181818181818</v>
      </c>
      <c r="E17" s="38">
        <f t="shared" si="10"/>
        <v>5.7272727272727275</v>
      </c>
      <c r="F17" s="38">
        <f>F16/$C$13</f>
        <v>9.545454545454545</v>
      </c>
      <c r="G17" s="38">
        <f t="shared" si="10"/>
        <v>4.454545454545455</v>
      </c>
      <c r="H17" s="38">
        <f t="shared" si="10"/>
        <v>2.5454545454545454</v>
      </c>
      <c r="I17" s="39">
        <f t="shared" si="10"/>
        <v>1.9090909090909092</v>
      </c>
      <c r="L17" s="40">
        <v>6.4</v>
      </c>
      <c r="M17" s="31">
        <f>17</f>
        <v>17</v>
      </c>
      <c r="N17" s="31">
        <v>8.6</v>
      </c>
      <c r="O17" s="31">
        <f t="shared" si="8"/>
        <v>-2.1999999999999993</v>
      </c>
      <c r="P17" s="31">
        <f t="shared" ref="P17:P22" si="11">O17^3</f>
        <v>-10.647999999999991</v>
      </c>
      <c r="Q17" s="41">
        <f t="shared" ref="Q17:Q22" si="12">P17*M17</f>
        <v>-181.01599999999985</v>
      </c>
      <c r="S17" s="40">
        <v>6.4</v>
      </c>
      <c r="T17" s="31">
        <f>17</f>
        <v>17</v>
      </c>
      <c r="U17" s="31">
        <v>8.6</v>
      </c>
      <c r="V17" s="31">
        <f t="shared" si="9"/>
        <v>-2.1999999999999993</v>
      </c>
      <c r="W17" s="31">
        <f t="shared" ref="W17:W22" si="13">V17^4</f>
        <v>23.425599999999974</v>
      </c>
      <c r="X17" s="41">
        <f t="shared" ref="X17:X21" si="14">W17*T17</f>
        <v>398.23519999999957</v>
      </c>
    </row>
    <row r="18" spans="2:24" ht="16.5" thickBot="1" x14ac:dyDescent="0.3">
      <c r="L18" s="40">
        <v>7.9</v>
      </c>
      <c r="M18" s="31">
        <f>9</f>
        <v>9</v>
      </c>
      <c r="N18" s="31">
        <v>8.6</v>
      </c>
      <c r="O18" s="31">
        <f t="shared" si="8"/>
        <v>-0.69999999999999929</v>
      </c>
      <c r="P18" s="31">
        <f t="shared" si="11"/>
        <v>-0.34299999999999897</v>
      </c>
      <c r="Q18" s="41">
        <f t="shared" si="12"/>
        <v>-3.0869999999999909</v>
      </c>
      <c r="S18" s="40">
        <v>7.9</v>
      </c>
      <c r="T18" s="31">
        <f>9</f>
        <v>9</v>
      </c>
      <c r="U18" s="31">
        <v>8.6</v>
      </c>
      <c r="V18" s="31">
        <f t="shared" si="9"/>
        <v>-0.69999999999999929</v>
      </c>
      <c r="W18" s="31">
        <f t="shared" si="13"/>
        <v>0.24009999999999901</v>
      </c>
      <c r="X18" s="41">
        <f t="shared" si="14"/>
        <v>2.1608999999999909</v>
      </c>
    </row>
    <row r="19" spans="2:24" x14ac:dyDescent="0.25">
      <c r="B19" s="52" t="s">
        <v>10</v>
      </c>
      <c r="C19" s="53"/>
      <c r="D19" s="54"/>
      <c r="E19" s="58">
        <f>(1/C11)*SUMPRODUCT(C15:I15,C16:I16)</f>
        <v>8.6095238095238091</v>
      </c>
      <c r="F19" s="59"/>
      <c r="L19" s="40">
        <v>9.5</v>
      </c>
      <c r="M19" s="31">
        <f>15</f>
        <v>15</v>
      </c>
      <c r="N19" s="31">
        <v>8.6</v>
      </c>
      <c r="O19" s="31">
        <f t="shared" si="8"/>
        <v>0.90000000000000036</v>
      </c>
      <c r="P19" s="31">
        <f t="shared" si="11"/>
        <v>0.72900000000000087</v>
      </c>
      <c r="Q19" s="41">
        <f t="shared" si="12"/>
        <v>10.935000000000013</v>
      </c>
      <c r="S19" s="40">
        <v>9.5</v>
      </c>
      <c r="T19" s="31">
        <f>15</f>
        <v>15</v>
      </c>
      <c r="U19" s="31">
        <v>8.6</v>
      </c>
      <c r="V19" s="31">
        <f t="shared" si="9"/>
        <v>0.90000000000000036</v>
      </c>
      <c r="W19" s="31">
        <f t="shared" si="13"/>
        <v>0.65610000000000102</v>
      </c>
      <c r="X19" s="41">
        <f t="shared" si="14"/>
        <v>9.8415000000000159</v>
      </c>
    </row>
    <row r="20" spans="2:24" x14ac:dyDescent="0.25">
      <c r="B20" s="55" t="s">
        <v>11</v>
      </c>
      <c r="C20" s="56"/>
      <c r="D20" s="57"/>
      <c r="E20" s="60">
        <f>(1/C11)*SUMXMY2(B3:T6,V3:AN6)</f>
        <v>6.080000000000001</v>
      </c>
      <c r="F20" s="61"/>
      <c r="L20" s="40">
        <v>11.1</v>
      </c>
      <c r="M20" s="31">
        <f>7</f>
        <v>7</v>
      </c>
      <c r="N20" s="31">
        <v>8.6</v>
      </c>
      <c r="O20" s="31">
        <f t="shared" si="8"/>
        <v>2.5</v>
      </c>
      <c r="P20" s="31">
        <f t="shared" si="11"/>
        <v>15.625</v>
      </c>
      <c r="Q20" s="41">
        <f t="shared" si="12"/>
        <v>109.375</v>
      </c>
      <c r="S20" s="40">
        <v>11.1</v>
      </c>
      <c r="T20" s="31">
        <f>7</f>
        <v>7</v>
      </c>
      <c r="U20" s="31">
        <v>8.6</v>
      </c>
      <c r="V20" s="31">
        <f t="shared" si="9"/>
        <v>2.5</v>
      </c>
      <c r="W20" s="31">
        <f t="shared" si="13"/>
        <v>39.0625</v>
      </c>
      <c r="X20" s="41">
        <f t="shared" si="14"/>
        <v>273.4375</v>
      </c>
    </row>
    <row r="21" spans="2:24" x14ac:dyDescent="0.25">
      <c r="B21" s="55" t="s">
        <v>12</v>
      </c>
      <c r="C21" s="56"/>
      <c r="D21" s="57"/>
      <c r="E21" s="62">
        <f>SQRT(E20)</f>
        <v>2.4657656011875906</v>
      </c>
      <c r="F21" s="63"/>
      <c r="L21" s="40">
        <v>12.6</v>
      </c>
      <c r="M21" s="31">
        <f>4</f>
        <v>4</v>
      </c>
      <c r="N21" s="31">
        <v>8.6</v>
      </c>
      <c r="O21" s="31">
        <f t="shared" si="8"/>
        <v>4</v>
      </c>
      <c r="P21" s="31">
        <f t="shared" si="11"/>
        <v>64</v>
      </c>
      <c r="Q21" s="41">
        <f t="shared" si="12"/>
        <v>256</v>
      </c>
      <c r="S21" s="40">
        <v>12.6</v>
      </c>
      <c r="T21" s="31">
        <f>4</f>
        <v>4</v>
      </c>
      <c r="U21" s="31">
        <v>8.6</v>
      </c>
      <c r="V21" s="31">
        <f t="shared" si="9"/>
        <v>4</v>
      </c>
      <c r="W21" s="31">
        <f t="shared" si="13"/>
        <v>256</v>
      </c>
      <c r="X21" s="41">
        <f t="shared" si="14"/>
        <v>1024</v>
      </c>
    </row>
    <row r="22" spans="2:24" ht="16.5" thickBot="1" x14ac:dyDescent="0.3">
      <c r="B22" s="55" t="s">
        <v>13</v>
      </c>
      <c r="C22" s="56"/>
      <c r="D22" s="57"/>
      <c r="E22" s="60">
        <f>E21/E19*100</f>
        <v>28.639976562466487</v>
      </c>
      <c r="F22" s="61"/>
      <c r="L22" s="29">
        <v>14.2</v>
      </c>
      <c r="M22" s="35">
        <f>3</f>
        <v>3</v>
      </c>
      <c r="N22" s="35">
        <v>8.6</v>
      </c>
      <c r="O22" s="35">
        <f t="shared" si="8"/>
        <v>5.6</v>
      </c>
      <c r="P22" s="35">
        <f t="shared" si="11"/>
        <v>175.61599999999996</v>
      </c>
      <c r="Q22" s="32">
        <f t="shared" si="12"/>
        <v>526.84799999999984</v>
      </c>
      <c r="S22" s="29">
        <v>14.2</v>
      </c>
      <c r="T22" s="35">
        <f>3</f>
        <v>3</v>
      </c>
      <c r="U22" s="35">
        <v>8.6</v>
      </c>
      <c r="V22" s="35">
        <f t="shared" si="9"/>
        <v>5.6</v>
      </c>
      <c r="W22" s="35">
        <f t="shared" si="13"/>
        <v>983.44959999999969</v>
      </c>
      <c r="X22" s="32">
        <f>W22*T22</f>
        <v>2950.3487999999988</v>
      </c>
    </row>
    <row r="23" spans="2:24" x14ac:dyDescent="0.25">
      <c r="B23" s="55" t="s">
        <v>15</v>
      </c>
      <c r="C23" s="56"/>
      <c r="D23" s="57"/>
      <c r="E23" s="56" t="s">
        <v>16</v>
      </c>
      <c r="F23" s="57"/>
    </row>
    <row r="24" spans="2:24" x14ac:dyDescent="0.25">
      <c r="B24" s="55" t="s">
        <v>17</v>
      </c>
      <c r="C24" s="56"/>
      <c r="D24" s="57"/>
      <c r="E24" s="62">
        <f>SUM(Q16:Q22)/(60*E21^3)</f>
        <v>0.49437400541217413</v>
      </c>
      <c r="F24" s="63"/>
    </row>
    <row r="25" spans="2:24" ht="16.5" thickBot="1" x14ac:dyDescent="0.3">
      <c r="B25" s="66" t="s">
        <v>20</v>
      </c>
      <c r="C25" s="67"/>
      <c r="D25" s="68"/>
      <c r="E25" s="64">
        <f>(SUM(X16:X22)/((E21^4)*60)) - 3</f>
        <v>-0.4298318202475766</v>
      </c>
      <c r="F25" s="65"/>
      <c r="S25" s="20"/>
    </row>
    <row r="26" spans="2:24" x14ac:dyDescent="0.25">
      <c r="S26" s="20"/>
    </row>
    <row r="27" spans="2:24" x14ac:dyDescent="0.25">
      <c r="B27" s="43" t="s">
        <v>21</v>
      </c>
    </row>
    <row r="29" spans="2:24" x14ac:dyDescent="0.25">
      <c r="B29" s="42" t="s">
        <v>22</v>
      </c>
    </row>
  </sheetData>
  <mergeCells count="15">
    <mergeCell ref="E22:F22"/>
    <mergeCell ref="B23:D23"/>
    <mergeCell ref="B24:D24"/>
    <mergeCell ref="E24:F24"/>
    <mergeCell ref="E25:F25"/>
    <mergeCell ref="B25:D25"/>
    <mergeCell ref="B22:D22"/>
    <mergeCell ref="E23:F23"/>
    <mergeCell ref="B2:T2"/>
    <mergeCell ref="B19:D19"/>
    <mergeCell ref="B20:D20"/>
    <mergeCell ref="B21:D21"/>
    <mergeCell ref="E19:F19"/>
    <mergeCell ref="E20:F20"/>
    <mergeCell ref="E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0B6C5-CF58-4463-8EA8-01D8652872EE}">
  <dimension ref="B2:V30"/>
  <sheetViews>
    <sheetView tabSelected="1" topLeftCell="E1" zoomScale="70" zoomScaleNormal="70" workbookViewId="0">
      <selection activeCell="N19" sqref="N19"/>
    </sheetView>
  </sheetViews>
  <sheetFormatPr defaultRowHeight="15.75" x14ac:dyDescent="0.25"/>
  <cols>
    <col min="6" max="6" width="10.375" bestFit="1" customWidth="1"/>
  </cols>
  <sheetData>
    <row r="2" spans="2:22" ht="16.5" thickBot="1" x14ac:dyDescent="0.3">
      <c r="B2" s="72" t="s">
        <v>3</v>
      </c>
      <c r="C2" s="72"/>
      <c r="D2" s="72"/>
      <c r="E2" s="72"/>
      <c r="F2" s="72"/>
      <c r="G2" s="72"/>
      <c r="H2" s="72"/>
      <c r="I2" s="72"/>
      <c r="J2" s="72"/>
      <c r="K2" s="72"/>
    </row>
    <row r="3" spans="2:22" x14ac:dyDescent="0.25">
      <c r="B3" s="6">
        <v>45</v>
      </c>
      <c r="C3" s="7">
        <v>38</v>
      </c>
      <c r="D3" s="7">
        <v>42</v>
      </c>
      <c r="E3" s="7">
        <v>51</v>
      </c>
      <c r="F3" s="7">
        <v>47</v>
      </c>
      <c r="G3" s="7">
        <v>53</v>
      </c>
      <c r="H3" s="7">
        <v>44</v>
      </c>
      <c r="I3" s="7">
        <v>56</v>
      </c>
      <c r="J3" s="7">
        <v>50</v>
      </c>
      <c r="K3" s="8">
        <v>39</v>
      </c>
      <c r="M3" s="21">
        <v>55.3</v>
      </c>
      <c r="N3" s="23">
        <v>55.3</v>
      </c>
      <c r="O3" s="23">
        <v>55.3</v>
      </c>
      <c r="P3" s="23">
        <v>55.3</v>
      </c>
      <c r="Q3" s="23">
        <v>55.3</v>
      </c>
      <c r="R3" s="23">
        <v>55.3</v>
      </c>
      <c r="S3" s="23">
        <v>55.3</v>
      </c>
      <c r="T3" s="23">
        <v>55.3</v>
      </c>
      <c r="U3" s="23">
        <v>55.3</v>
      </c>
      <c r="V3" s="1">
        <v>55.3</v>
      </c>
    </row>
    <row r="4" spans="2:22" x14ac:dyDescent="0.25">
      <c r="B4" s="40">
        <v>58</v>
      </c>
      <c r="C4" s="74">
        <v>61</v>
      </c>
      <c r="D4" s="74">
        <v>49</v>
      </c>
      <c r="E4" s="74">
        <v>66</v>
      </c>
      <c r="F4" s="74">
        <v>52</v>
      </c>
      <c r="G4" s="74">
        <v>44</v>
      </c>
      <c r="H4" s="74">
        <v>37</v>
      </c>
      <c r="I4" s="74">
        <v>63</v>
      </c>
      <c r="J4" s="74">
        <v>55</v>
      </c>
      <c r="K4" s="41">
        <v>60</v>
      </c>
      <c r="M4" s="9">
        <v>55.3</v>
      </c>
      <c r="N4" s="73">
        <v>55.3</v>
      </c>
      <c r="O4" s="73">
        <v>55.3</v>
      </c>
      <c r="P4" s="73">
        <v>55.3</v>
      </c>
      <c r="Q4" s="73">
        <v>55.3</v>
      </c>
      <c r="R4" s="73">
        <v>55.3</v>
      </c>
      <c r="S4" s="73">
        <v>55.3</v>
      </c>
      <c r="T4" s="73">
        <v>55.3</v>
      </c>
      <c r="U4" s="73">
        <v>55.3</v>
      </c>
      <c r="V4" s="2">
        <v>55.3</v>
      </c>
    </row>
    <row r="5" spans="2:22" x14ac:dyDescent="0.25">
      <c r="B5" s="40">
        <v>52</v>
      </c>
      <c r="C5" s="74">
        <v>55</v>
      </c>
      <c r="D5" s="74">
        <v>48</v>
      </c>
      <c r="E5" s="74">
        <v>61</v>
      </c>
      <c r="F5" s="74">
        <v>57</v>
      </c>
      <c r="G5" s="74">
        <v>59</v>
      </c>
      <c r="H5" s="74">
        <v>46</v>
      </c>
      <c r="I5" s="74">
        <v>62</v>
      </c>
      <c r="J5" s="74">
        <v>68</v>
      </c>
      <c r="K5" s="41">
        <v>41</v>
      </c>
      <c r="M5" s="9">
        <v>55.3</v>
      </c>
      <c r="N5" s="73">
        <v>55.3</v>
      </c>
      <c r="O5" s="73">
        <v>55.3</v>
      </c>
      <c r="P5" s="73">
        <v>55.3</v>
      </c>
      <c r="Q5" s="73">
        <v>55.3</v>
      </c>
      <c r="R5" s="73">
        <v>55.3</v>
      </c>
      <c r="S5" s="73">
        <v>55.3</v>
      </c>
      <c r="T5" s="73">
        <v>55.3</v>
      </c>
      <c r="U5" s="73">
        <v>55.3</v>
      </c>
      <c r="V5" s="2">
        <v>55.3</v>
      </c>
    </row>
    <row r="6" spans="2:22" x14ac:dyDescent="0.25">
      <c r="B6" s="40">
        <v>64</v>
      </c>
      <c r="C6" s="74">
        <v>53</v>
      </c>
      <c r="D6" s="74">
        <v>45</v>
      </c>
      <c r="E6" s="74">
        <v>59</v>
      </c>
      <c r="F6" s="74">
        <v>48</v>
      </c>
      <c r="G6" s="74">
        <v>70</v>
      </c>
      <c r="H6" s="74">
        <v>54</v>
      </c>
      <c r="I6" s="74">
        <v>48</v>
      </c>
      <c r="J6" s="74">
        <v>56</v>
      </c>
      <c r="K6" s="41">
        <v>42</v>
      </c>
      <c r="M6" s="9">
        <v>55.3</v>
      </c>
      <c r="N6" s="73">
        <v>55.3</v>
      </c>
      <c r="O6" s="73">
        <v>55.3</v>
      </c>
      <c r="P6" s="73">
        <v>55.3</v>
      </c>
      <c r="Q6" s="73">
        <v>55.3</v>
      </c>
      <c r="R6" s="73">
        <v>55.3</v>
      </c>
      <c r="S6" s="73">
        <v>55.3</v>
      </c>
      <c r="T6" s="73">
        <v>55.3</v>
      </c>
      <c r="U6" s="73">
        <v>55.3</v>
      </c>
      <c r="V6" s="2">
        <v>55.3</v>
      </c>
    </row>
    <row r="7" spans="2:22" x14ac:dyDescent="0.25">
      <c r="B7" s="40">
        <v>67</v>
      </c>
      <c r="C7" s="74">
        <v>71</v>
      </c>
      <c r="D7" s="74">
        <v>58</v>
      </c>
      <c r="E7" s="74">
        <v>63</v>
      </c>
      <c r="F7" s="74">
        <v>49</v>
      </c>
      <c r="G7" s="74">
        <v>65</v>
      </c>
      <c r="H7" s="74">
        <v>54</v>
      </c>
      <c r="I7" s="74">
        <v>60</v>
      </c>
      <c r="J7" s="74">
        <v>43</v>
      </c>
      <c r="K7" s="41">
        <v>69</v>
      </c>
      <c r="M7" s="9">
        <v>55.3</v>
      </c>
      <c r="N7" s="73">
        <v>55.3</v>
      </c>
      <c r="O7" s="73">
        <v>55.3</v>
      </c>
      <c r="P7" s="73">
        <v>55.3</v>
      </c>
      <c r="Q7" s="73">
        <v>55.3</v>
      </c>
      <c r="R7" s="73">
        <v>55.3</v>
      </c>
      <c r="S7" s="73">
        <v>55.3</v>
      </c>
      <c r="T7" s="73">
        <v>55.3</v>
      </c>
      <c r="U7" s="73">
        <v>55.3</v>
      </c>
      <c r="V7" s="2">
        <v>55.3</v>
      </c>
    </row>
    <row r="8" spans="2:22" x14ac:dyDescent="0.25">
      <c r="B8" s="40">
        <v>47</v>
      </c>
      <c r="C8" s="74">
        <v>55</v>
      </c>
      <c r="D8" s="74">
        <v>72</v>
      </c>
      <c r="E8" s="74">
        <v>50</v>
      </c>
      <c r="F8" s="74">
        <v>57</v>
      </c>
      <c r="G8" s="74">
        <v>62</v>
      </c>
      <c r="H8" s="74">
        <v>46</v>
      </c>
      <c r="I8" s="74">
        <v>65</v>
      </c>
      <c r="J8" s="74">
        <v>51</v>
      </c>
      <c r="K8" s="41">
        <v>58</v>
      </c>
      <c r="M8" s="9">
        <v>55.3</v>
      </c>
      <c r="N8" s="73">
        <v>55.3</v>
      </c>
      <c r="O8" s="73">
        <v>55.3</v>
      </c>
      <c r="P8" s="73">
        <v>55.3</v>
      </c>
      <c r="Q8" s="73">
        <v>55.3</v>
      </c>
      <c r="R8" s="73">
        <v>55.3</v>
      </c>
      <c r="S8" s="73">
        <v>55.3</v>
      </c>
      <c r="T8" s="73">
        <v>55.3</v>
      </c>
      <c r="U8" s="73">
        <v>55.3</v>
      </c>
      <c r="V8" s="2">
        <v>55.3</v>
      </c>
    </row>
    <row r="9" spans="2:22" x14ac:dyDescent="0.25">
      <c r="B9" s="40">
        <v>73</v>
      </c>
      <c r="C9" s="74">
        <v>44</v>
      </c>
      <c r="D9" s="74">
        <v>59</v>
      </c>
      <c r="E9" s="74">
        <v>68</v>
      </c>
      <c r="F9" s="74">
        <v>52</v>
      </c>
      <c r="G9" s="74">
        <v>49</v>
      </c>
      <c r="H9" s="74">
        <v>61</v>
      </c>
      <c r="I9" s="74">
        <v>55</v>
      </c>
      <c r="J9" s="74">
        <v>47</v>
      </c>
      <c r="K9" s="41">
        <v>63</v>
      </c>
      <c r="M9" s="9">
        <v>55.3</v>
      </c>
      <c r="N9" s="73">
        <v>55.3</v>
      </c>
      <c r="O9" s="73">
        <v>55.3</v>
      </c>
      <c r="P9" s="73">
        <v>55.3</v>
      </c>
      <c r="Q9" s="73">
        <v>55.3</v>
      </c>
      <c r="R9" s="73">
        <v>55.3</v>
      </c>
      <c r="S9" s="73">
        <v>55.3</v>
      </c>
      <c r="T9" s="73">
        <v>55.3</v>
      </c>
      <c r="U9" s="73">
        <v>55.3</v>
      </c>
      <c r="V9" s="2">
        <v>55.3</v>
      </c>
    </row>
    <row r="10" spans="2:22" x14ac:dyDescent="0.25">
      <c r="B10" s="40">
        <v>58</v>
      </c>
      <c r="C10" s="74">
        <v>66</v>
      </c>
      <c r="D10" s="74">
        <v>53</v>
      </c>
      <c r="E10" s="74">
        <v>42</v>
      </c>
      <c r="F10" s="74">
        <v>70</v>
      </c>
      <c r="G10" s="74">
        <v>56</v>
      </c>
      <c r="H10" s="74">
        <v>48</v>
      </c>
      <c r="I10" s="74">
        <v>64</v>
      </c>
      <c r="J10" s="74">
        <v>57</v>
      </c>
      <c r="K10" s="41">
        <v>45</v>
      </c>
      <c r="M10" s="9">
        <v>55.3</v>
      </c>
      <c r="N10" s="73">
        <v>55.3</v>
      </c>
      <c r="O10" s="73">
        <v>55.3</v>
      </c>
      <c r="P10" s="73">
        <v>55.3</v>
      </c>
      <c r="Q10" s="73">
        <v>55.3</v>
      </c>
      <c r="R10" s="73">
        <v>55.3</v>
      </c>
      <c r="S10" s="73">
        <v>55.3</v>
      </c>
      <c r="T10" s="73">
        <v>55.3</v>
      </c>
      <c r="U10" s="73">
        <v>55.3</v>
      </c>
      <c r="V10" s="2">
        <v>55.3</v>
      </c>
    </row>
    <row r="11" spans="2:22" x14ac:dyDescent="0.25">
      <c r="B11" s="40">
        <v>62</v>
      </c>
      <c r="C11" s="74">
        <v>51</v>
      </c>
      <c r="D11" s="74">
        <v>48</v>
      </c>
      <c r="E11" s="74">
        <v>69</v>
      </c>
      <c r="F11" s="74">
        <v>54</v>
      </c>
      <c r="G11" s="74">
        <v>60</v>
      </c>
      <c r="H11" s="74">
        <v>43</v>
      </c>
      <c r="I11" s="74">
        <v>65</v>
      </c>
      <c r="J11" s="74">
        <v>59</v>
      </c>
      <c r="K11" s="41">
        <v>52</v>
      </c>
      <c r="M11" s="9">
        <v>55.3</v>
      </c>
      <c r="N11" s="73">
        <v>55.3</v>
      </c>
      <c r="O11" s="73">
        <v>55.3</v>
      </c>
      <c r="P11" s="73">
        <v>55.3</v>
      </c>
      <c r="Q11" s="73">
        <v>55.3</v>
      </c>
      <c r="R11" s="73">
        <v>55.3</v>
      </c>
      <c r="S11" s="73">
        <v>55.3</v>
      </c>
      <c r="T11" s="73">
        <v>55.3</v>
      </c>
      <c r="U11" s="73">
        <v>55.3</v>
      </c>
      <c r="V11" s="2">
        <v>55.3</v>
      </c>
    </row>
    <row r="12" spans="2:22" ht="16.5" thickBot="1" x14ac:dyDescent="0.3">
      <c r="B12" s="29">
        <v>50</v>
      </c>
      <c r="C12" s="35">
        <v>67</v>
      </c>
      <c r="D12" s="35">
        <v>55</v>
      </c>
      <c r="E12" s="35">
        <v>46</v>
      </c>
      <c r="F12" s="35">
        <v>71</v>
      </c>
      <c r="G12" s="35">
        <v>58</v>
      </c>
      <c r="H12" s="35">
        <v>49</v>
      </c>
      <c r="I12" s="35">
        <v>63</v>
      </c>
      <c r="J12" s="35">
        <v>56</v>
      </c>
      <c r="K12" s="32">
        <v>41</v>
      </c>
      <c r="M12" s="10">
        <v>55.3</v>
      </c>
      <c r="N12" s="4">
        <v>55.3</v>
      </c>
      <c r="O12" s="4">
        <v>55.3</v>
      </c>
      <c r="P12" s="4">
        <v>55.3</v>
      </c>
      <c r="Q12" s="4">
        <v>55.3</v>
      </c>
      <c r="R12" s="4">
        <v>55.3</v>
      </c>
      <c r="S12" s="4">
        <v>55.3</v>
      </c>
      <c r="T12" s="4">
        <v>55.3</v>
      </c>
      <c r="U12" s="4">
        <v>55.3</v>
      </c>
      <c r="V12" s="3">
        <v>55.3</v>
      </c>
    </row>
    <row r="13" spans="2:22" ht="16.5" thickBot="1" x14ac:dyDescent="0.3"/>
    <row r="14" spans="2:22" x14ac:dyDescent="0.25">
      <c r="B14" s="26" t="s">
        <v>4</v>
      </c>
      <c r="C14" s="1">
        <f>MIN(B3:K12)</f>
        <v>37</v>
      </c>
      <c r="E14" s="21" t="s">
        <v>7</v>
      </c>
      <c r="F14" s="46">
        <f>C14</f>
        <v>37</v>
      </c>
      <c r="G14" s="45">
        <f>F14+C18</f>
        <v>41.5</v>
      </c>
      <c r="H14" s="44">
        <f>G14</f>
        <v>41.5</v>
      </c>
      <c r="I14" s="44">
        <f>H14+$C$18</f>
        <v>46</v>
      </c>
      <c r="J14" s="46">
        <f t="shared" ref="J14" si="0">I14</f>
        <v>46</v>
      </c>
      <c r="K14" s="45">
        <f t="shared" ref="K14" si="1">J14+$C$18</f>
        <v>50.5</v>
      </c>
      <c r="L14" s="46">
        <f t="shared" ref="L14" si="2">K14</f>
        <v>50.5</v>
      </c>
      <c r="M14" s="45">
        <f>L14+$C$18</f>
        <v>55</v>
      </c>
      <c r="N14" s="46">
        <f t="shared" ref="N14" si="3">M14</f>
        <v>55</v>
      </c>
      <c r="O14" s="45">
        <f t="shared" ref="O14" si="4">N14+$C$18</f>
        <v>59.5</v>
      </c>
      <c r="P14" s="46">
        <f t="shared" ref="P14" si="5">O14</f>
        <v>59.5</v>
      </c>
      <c r="Q14" s="45">
        <f t="shared" ref="Q14" si="6">P14+$C$18</f>
        <v>64</v>
      </c>
      <c r="R14" s="46">
        <f t="shared" ref="R14" si="7">Q14</f>
        <v>64</v>
      </c>
      <c r="S14" s="45">
        <f t="shared" ref="S14" si="8">R14+$C$18</f>
        <v>68.5</v>
      </c>
      <c r="T14" s="46">
        <f t="shared" ref="T14" si="9">S14</f>
        <v>68.5</v>
      </c>
      <c r="U14" s="45">
        <f t="shared" ref="U14" si="10">T14+$C$18</f>
        <v>73</v>
      </c>
    </row>
    <row r="15" spans="2:22" ht="16.5" thickBot="1" x14ac:dyDescent="0.3">
      <c r="B15" s="27" t="s">
        <v>5</v>
      </c>
      <c r="C15" s="2">
        <f>MAX(B3:K12)</f>
        <v>73</v>
      </c>
      <c r="E15" s="10" t="s">
        <v>8</v>
      </c>
      <c r="F15" s="10">
        <f>COUNTIFS(B3:K12,"&gt;=37",B3:K12,"&lt;41,5")</f>
        <v>5</v>
      </c>
      <c r="G15" s="3">
        <v>5</v>
      </c>
      <c r="H15" s="4">
        <f>COUNTIFS(B3:K12,"&gt;=41,5",B3:K12,"&lt;46,0")</f>
        <v>11</v>
      </c>
      <c r="I15" s="4">
        <v>11</v>
      </c>
      <c r="J15" s="10">
        <f>COUNTIFS(B3:K12,"&gt;=46",B3:K12,"&lt;50,5")</f>
        <v>18</v>
      </c>
      <c r="K15" s="3">
        <v>18</v>
      </c>
      <c r="L15" s="10">
        <f>COUNTIFS(B3:K12,"&gt;=50,5",B3:K12,"&lt;55,0")</f>
        <v>13</v>
      </c>
      <c r="M15" s="3">
        <v>13</v>
      </c>
      <c r="N15" s="10">
        <f>COUNTIFS(B3:K12,"&gt;=55",B3:K12,"&lt;59,5")</f>
        <v>21</v>
      </c>
      <c r="O15" s="3">
        <v>21</v>
      </c>
      <c r="P15" s="10">
        <f>COUNTIFS(B3:K12,"&gt;=59,5",B3:K12,"&lt;64")</f>
        <v>13</v>
      </c>
      <c r="Q15" s="3">
        <v>13</v>
      </c>
      <c r="R15" s="10">
        <f>COUNTIFS(B3:K12,"&gt;=64",B3:K12,"&lt;68,5")</f>
        <v>11</v>
      </c>
      <c r="S15" s="3">
        <v>11</v>
      </c>
      <c r="T15" s="10">
        <f>COUNTIFS(B3:K12,"&gt;=68,5",B3:K12,"&lt;=73,0")</f>
        <v>8</v>
      </c>
      <c r="U15" s="3">
        <v>8</v>
      </c>
    </row>
    <row r="16" spans="2:22" ht="16.5" thickBot="1" x14ac:dyDescent="0.3">
      <c r="B16" s="27" t="s">
        <v>1</v>
      </c>
      <c r="C16" s="2">
        <f>COUNT(B3:K12)</f>
        <v>100</v>
      </c>
    </row>
    <row r="17" spans="2:20" x14ac:dyDescent="0.25">
      <c r="B17" s="27" t="s">
        <v>0</v>
      </c>
      <c r="C17" s="5">
        <f>1+(3.322*LOG(100,10))</f>
        <v>7.6440000000000001</v>
      </c>
      <c r="E17" s="26" t="s">
        <v>9</v>
      </c>
      <c r="F17" s="7">
        <f>F14+$C$18/2</f>
        <v>39.25</v>
      </c>
      <c r="G17" s="7">
        <f>H14+$C$18/2</f>
        <v>43.75</v>
      </c>
      <c r="H17" s="7">
        <f>J14+$C$18/2</f>
        <v>48.25</v>
      </c>
      <c r="I17" s="7">
        <f>L14+$C$18/2</f>
        <v>52.75</v>
      </c>
      <c r="J17" s="7">
        <f>N14+$C$18/2</f>
        <v>57.25</v>
      </c>
      <c r="K17" s="7">
        <f>P14+$C$18/2</f>
        <v>61.75</v>
      </c>
      <c r="L17" s="7">
        <f>R14+$C$18/2</f>
        <v>66.25</v>
      </c>
      <c r="M17" s="8">
        <f>T14+$C$18/2</f>
        <v>70.75</v>
      </c>
    </row>
    <row r="18" spans="2:20" ht="16.5" thickBot="1" x14ac:dyDescent="0.3">
      <c r="B18" s="28" t="s">
        <v>2</v>
      </c>
      <c r="C18" s="22">
        <f>4.5</f>
        <v>4.5</v>
      </c>
      <c r="E18" s="28" t="s">
        <v>8</v>
      </c>
      <c r="F18" s="35">
        <v>5</v>
      </c>
      <c r="G18" s="35">
        <v>11</v>
      </c>
      <c r="H18" s="35">
        <v>18</v>
      </c>
      <c r="I18" s="35">
        <v>13</v>
      </c>
      <c r="J18" s="35">
        <v>21</v>
      </c>
      <c r="K18" s="35">
        <v>13</v>
      </c>
      <c r="L18" s="35">
        <v>11</v>
      </c>
      <c r="M18" s="32">
        <v>8</v>
      </c>
      <c r="N18">
        <f>SUM(F18:M18)</f>
        <v>100</v>
      </c>
    </row>
    <row r="19" spans="2:20" ht="16.5" thickBot="1" x14ac:dyDescent="0.3">
      <c r="E19" s="28" t="s">
        <v>23</v>
      </c>
      <c r="F19" s="47">
        <f>F18/$C$18</f>
        <v>1.1111111111111112</v>
      </c>
      <c r="G19" s="47">
        <f>G18/$C$18</f>
        <v>2.4444444444444446</v>
      </c>
      <c r="H19" s="47">
        <f t="shared" ref="G19:M19" si="11">H18/$C$18</f>
        <v>4</v>
      </c>
      <c r="I19" s="47">
        <f>I18/$C$18</f>
        <v>2.8888888888888888</v>
      </c>
      <c r="J19" s="47">
        <f t="shared" si="11"/>
        <v>4.666666666666667</v>
      </c>
      <c r="K19" s="47">
        <f t="shared" si="11"/>
        <v>2.8888888888888888</v>
      </c>
      <c r="L19" s="47">
        <f t="shared" si="11"/>
        <v>2.4444444444444446</v>
      </c>
      <c r="M19" s="48">
        <f t="shared" si="11"/>
        <v>1.7777777777777777</v>
      </c>
    </row>
    <row r="20" spans="2:20" x14ac:dyDescent="0.25">
      <c r="B20" s="31"/>
      <c r="C20" t="s">
        <v>30</v>
      </c>
    </row>
    <row r="21" spans="2:20" ht="16.5" thickBot="1" x14ac:dyDescent="0.3"/>
    <row r="22" spans="2:20" ht="16.5" thickBot="1" x14ac:dyDescent="0.3">
      <c r="B22" s="52" t="s">
        <v>10</v>
      </c>
      <c r="C22" s="53"/>
      <c r="D22" s="54"/>
      <c r="E22" s="58">
        <f>(1/C16)*SUMPRODUCT(F17:M17,F18:M18)</f>
        <v>55.314999999999998</v>
      </c>
      <c r="F22" s="59"/>
      <c r="H22" s="49" t="s">
        <v>9</v>
      </c>
      <c r="I22" s="50" t="s">
        <v>25</v>
      </c>
      <c r="J22" s="50" t="s">
        <v>8</v>
      </c>
      <c r="K22" s="50" t="s">
        <v>26</v>
      </c>
      <c r="L22" s="50" t="s">
        <v>27</v>
      </c>
      <c r="M22" s="51" t="s">
        <v>28</v>
      </c>
      <c r="O22" s="49" t="s">
        <v>9</v>
      </c>
      <c r="P22" s="50" t="s">
        <v>25</v>
      </c>
      <c r="Q22" s="50" t="s">
        <v>8</v>
      </c>
      <c r="R22" s="50" t="s">
        <v>26</v>
      </c>
      <c r="S22" s="50" t="s">
        <v>29</v>
      </c>
      <c r="T22" s="51" t="s">
        <v>28</v>
      </c>
    </row>
    <row r="23" spans="2:20" x14ac:dyDescent="0.25">
      <c r="B23" s="55" t="s">
        <v>11</v>
      </c>
      <c r="C23" s="56"/>
      <c r="D23" s="57"/>
      <c r="E23" s="70">
        <f>(1/C16)*SUMXMY2(B3:K12,M3:V12)</f>
        <v>77.286000000000001</v>
      </c>
      <c r="F23" s="61"/>
      <c r="H23" s="9">
        <v>39.25</v>
      </c>
      <c r="I23">
        <v>55.3</v>
      </c>
      <c r="J23">
        <v>5</v>
      </c>
      <c r="K23">
        <f>H23-I23</f>
        <v>-16.049999999999997</v>
      </c>
      <c r="L23">
        <f>K23^3</f>
        <v>-4134.5201249999982</v>
      </c>
      <c r="M23" s="2">
        <f>L23*J23</f>
        <v>-20672.600624999992</v>
      </c>
      <c r="O23" s="9">
        <v>39.25</v>
      </c>
      <c r="P23">
        <v>55.3</v>
      </c>
      <c r="Q23">
        <v>5</v>
      </c>
      <c r="R23">
        <f>O23-P23</f>
        <v>-16.049999999999997</v>
      </c>
      <c r="S23">
        <f>R23^4</f>
        <v>66359.048006249956</v>
      </c>
      <c r="T23" s="2">
        <f>S23*Q23</f>
        <v>331795.24003124976</v>
      </c>
    </row>
    <row r="24" spans="2:20" x14ac:dyDescent="0.25">
      <c r="B24" s="55" t="s">
        <v>12</v>
      </c>
      <c r="C24" s="56"/>
      <c r="D24" s="57"/>
      <c r="E24" s="69">
        <f>SQRT(E23)</f>
        <v>8.7912456455271464</v>
      </c>
      <c r="F24" s="63"/>
      <c r="H24" s="9">
        <v>43.75</v>
      </c>
      <c r="I24">
        <v>55.3</v>
      </c>
      <c r="J24">
        <v>11</v>
      </c>
      <c r="K24">
        <f t="shared" ref="K24:K30" si="12">H24-I24</f>
        <v>-11.549999999999997</v>
      </c>
      <c r="L24">
        <f t="shared" ref="L24:L30" si="13">K24^3</f>
        <v>-1540.798874999999</v>
      </c>
      <c r="M24" s="2">
        <f t="shared" ref="M24:M30" si="14">L24*J24</f>
        <v>-16948.78762499999</v>
      </c>
      <c r="O24" s="9">
        <v>43.75</v>
      </c>
      <c r="P24">
        <v>55.3</v>
      </c>
      <c r="Q24">
        <v>11</v>
      </c>
      <c r="R24">
        <f t="shared" ref="R24:R30" si="15">O24-P24</f>
        <v>-11.549999999999997</v>
      </c>
      <c r="S24">
        <f t="shared" ref="S24:S30" si="16">R24^4</f>
        <v>17796.227006249985</v>
      </c>
      <c r="T24" s="2">
        <f t="shared" ref="T24:T30" si="17">S24*Q24</f>
        <v>195758.49706874983</v>
      </c>
    </row>
    <row r="25" spans="2:20" x14ac:dyDescent="0.25">
      <c r="B25" s="55" t="s">
        <v>13</v>
      </c>
      <c r="C25" s="56"/>
      <c r="D25" s="57"/>
      <c r="E25" s="70">
        <f>E24/E22*100</f>
        <v>15.89305910788601</v>
      </c>
      <c r="F25" s="61"/>
      <c r="H25" s="9">
        <v>48.25</v>
      </c>
      <c r="I25">
        <v>55.3</v>
      </c>
      <c r="J25">
        <v>18</v>
      </c>
      <c r="K25">
        <f t="shared" si="12"/>
        <v>-7.0499999999999972</v>
      </c>
      <c r="L25">
        <f t="shared" si="13"/>
        <v>-350.40262499999955</v>
      </c>
      <c r="M25" s="2">
        <f t="shared" si="14"/>
        <v>-6307.2472499999922</v>
      </c>
      <c r="O25" s="9">
        <v>48.25</v>
      </c>
      <c r="P25">
        <v>55.3</v>
      </c>
      <c r="Q25">
        <v>18</v>
      </c>
      <c r="R25">
        <f t="shared" si="15"/>
        <v>-7.0499999999999972</v>
      </c>
      <c r="S25">
        <f t="shared" si="16"/>
        <v>2470.338506249996</v>
      </c>
      <c r="T25" s="2">
        <f t="shared" si="17"/>
        <v>44466.093112499926</v>
      </c>
    </row>
    <row r="26" spans="2:20" x14ac:dyDescent="0.25">
      <c r="B26" s="55" t="s">
        <v>15</v>
      </c>
      <c r="C26" s="56"/>
      <c r="D26" s="57"/>
      <c r="E26" s="55" t="s">
        <v>24</v>
      </c>
      <c r="F26" s="57"/>
      <c r="H26" s="9">
        <v>52.75</v>
      </c>
      <c r="I26">
        <v>55.3</v>
      </c>
      <c r="J26">
        <v>13</v>
      </c>
      <c r="K26">
        <f t="shared" si="12"/>
        <v>-2.5499999999999972</v>
      </c>
      <c r="L26">
        <f t="shared" si="13"/>
        <v>-16.581374999999944</v>
      </c>
      <c r="M26" s="2">
        <f t="shared" si="14"/>
        <v>-215.55787499999929</v>
      </c>
      <c r="O26" s="9">
        <v>52.75</v>
      </c>
      <c r="P26">
        <v>55.3</v>
      </c>
      <c r="Q26">
        <v>13</v>
      </c>
      <c r="R26">
        <f t="shared" si="15"/>
        <v>-2.5499999999999972</v>
      </c>
      <c r="S26">
        <f t="shared" si="16"/>
        <v>42.282506249999805</v>
      </c>
      <c r="T26" s="2">
        <f t="shared" si="17"/>
        <v>549.67258124999751</v>
      </c>
    </row>
    <row r="27" spans="2:20" x14ac:dyDescent="0.25">
      <c r="B27" s="55" t="s">
        <v>17</v>
      </c>
      <c r="C27" s="56"/>
      <c r="D27" s="57"/>
      <c r="E27" s="75">
        <f>SUM(M23:M30)/(C16*E24^3)</f>
        <v>5.0714892854668778E-2</v>
      </c>
      <c r="F27" s="76"/>
      <c r="H27" s="9">
        <v>57.25</v>
      </c>
      <c r="I27">
        <v>55.3</v>
      </c>
      <c r="J27">
        <v>21</v>
      </c>
      <c r="K27">
        <f t="shared" si="12"/>
        <v>1.9500000000000028</v>
      </c>
      <c r="L27">
        <f t="shared" si="13"/>
        <v>7.4148750000000323</v>
      </c>
      <c r="M27" s="2">
        <f t="shared" si="14"/>
        <v>155.71237500000069</v>
      </c>
      <c r="O27" s="9">
        <v>57.25</v>
      </c>
      <c r="P27">
        <v>55.3</v>
      </c>
      <c r="Q27">
        <v>21</v>
      </c>
      <c r="R27">
        <f t="shared" si="15"/>
        <v>1.9500000000000028</v>
      </c>
      <c r="S27">
        <f t="shared" si="16"/>
        <v>14.459006250000083</v>
      </c>
      <c r="T27" s="2">
        <f t="shared" si="17"/>
        <v>303.63913125000175</v>
      </c>
    </row>
    <row r="28" spans="2:20" ht="16.5" thickBot="1" x14ac:dyDescent="0.3">
      <c r="B28" s="66" t="s">
        <v>20</v>
      </c>
      <c r="C28" s="67"/>
      <c r="D28" s="68"/>
      <c r="E28" s="71">
        <f>(SUM(T23:T30)/((E24^4)*C16)) - 3</f>
        <v>-0.97535337455163207</v>
      </c>
      <c r="F28" s="65"/>
      <c r="H28" s="9">
        <v>61.75</v>
      </c>
      <c r="I28">
        <v>55.3</v>
      </c>
      <c r="J28">
        <v>13</v>
      </c>
      <c r="K28">
        <f t="shared" si="12"/>
        <v>6.4500000000000028</v>
      </c>
      <c r="L28">
        <f t="shared" si="13"/>
        <v>268.33612500000032</v>
      </c>
      <c r="M28" s="2">
        <f t="shared" si="14"/>
        <v>3488.3696250000044</v>
      </c>
      <c r="O28" s="9">
        <v>61.75</v>
      </c>
      <c r="P28">
        <v>55.3</v>
      </c>
      <c r="Q28">
        <v>13</v>
      </c>
      <c r="R28">
        <f t="shared" si="15"/>
        <v>6.4500000000000028</v>
      </c>
      <c r="S28">
        <f t="shared" si="16"/>
        <v>1730.7680062500028</v>
      </c>
      <c r="T28" s="2">
        <f t="shared" si="17"/>
        <v>22499.984081250037</v>
      </c>
    </row>
    <row r="29" spans="2:20" x14ac:dyDescent="0.25">
      <c r="H29" s="9">
        <v>66.25</v>
      </c>
      <c r="I29">
        <v>55.3</v>
      </c>
      <c r="J29">
        <v>11</v>
      </c>
      <c r="K29">
        <f t="shared" si="12"/>
        <v>10.950000000000003</v>
      </c>
      <c r="L29">
        <f t="shared" si="13"/>
        <v>1312.932375000001</v>
      </c>
      <c r="M29" s="2">
        <f t="shared" si="14"/>
        <v>14442.256125000011</v>
      </c>
      <c r="O29" s="9">
        <v>66.25</v>
      </c>
      <c r="P29">
        <v>55.3</v>
      </c>
      <c r="Q29">
        <v>11</v>
      </c>
      <c r="R29">
        <f t="shared" si="15"/>
        <v>10.950000000000003</v>
      </c>
      <c r="S29">
        <f t="shared" si="16"/>
        <v>14376.609506250015</v>
      </c>
      <c r="T29" s="2">
        <f t="shared" si="17"/>
        <v>158142.70456875017</v>
      </c>
    </row>
    <row r="30" spans="2:20" ht="16.5" thickBot="1" x14ac:dyDescent="0.3">
      <c r="H30" s="10">
        <v>70.75</v>
      </c>
      <c r="I30" s="4">
        <v>55.3</v>
      </c>
      <c r="J30" s="4">
        <v>8</v>
      </c>
      <c r="K30" s="4">
        <f t="shared" si="12"/>
        <v>15.450000000000003</v>
      </c>
      <c r="L30" s="4">
        <f t="shared" si="13"/>
        <v>3687.9536250000024</v>
      </c>
      <c r="M30" s="3">
        <f t="shared" si="14"/>
        <v>29503.629000000019</v>
      </c>
      <c r="O30" s="10">
        <v>70.75</v>
      </c>
      <c r="P30" s="4">
        <v>55.3</v>
      </c>
      <c r="Q30" s="4">
        <v>8</v>
      </c>
      <c r="R30" s="4">
        <f t="shared" si="15"/>
        <v>15.450000000000003</v>
      </c>
      <c r="S30" s="4">
        <f t="shared" si="16"/>
        <v>56978.883506250051</v>
      </c>
      <c r="T30" s="3">
        <f t="shared" si="17"/>
        <v>455831.06805000041</v>
      </c>
    </row>
  </sheetData>
  <mergeCells count="15">
    <mergeCell ref="B2:K2"/>
    <mergeCell ref="B22:D22"/>
    <mergeCell ref="E22:F22"/>
    <mergeCell ref="B27:D27"/>
    <mergeCell ref="E27:F27"/>
    <mergeCell ref="B23:D23"/>
    <mergeCell ref="B28:D28"/>
    <mergeCell ref="E23:F23"/>
    <mergeCell ref="E28:F28"/>
    <mergeCell ref="B24:D24"/>
    <mergeCell ref="E24:F24"/>
    <mergeCell ref="B25:D25"/>
    <mergeCell ref="E25:F25"/>
    <mergeCell ref="B26:D26"/>
    <mergeCell ref="E26:F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</vt:lpstr>
      <vt:lpstr>Задание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Григорий Курылев</dc:creator>
  <cp:lastModifiedBy>Andrew Frolov</cp:lastModifiedBy>
  <dcterms:created xsi:type="dcterms:W3CDTF">2025-10-01T10:44:11Z</dcterms:created>
  <dcterms:modified xsi:type="dcterms:W3CDTF">2025-11-30T12:32:19Z</dcterms:modified>
</cp:coreProperties>
</file>