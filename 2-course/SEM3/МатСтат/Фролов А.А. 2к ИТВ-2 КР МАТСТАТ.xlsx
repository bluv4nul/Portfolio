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3E581C98-5373-4CFE-926C-FD077A8C9911}" xr6:coauthVersionLast="47" xr6:coauthVersionMax="47" xr10:uidLastSave="{00000000-0000-0000-0000-000000000000}"/>
  <bookViews>
    <workbookView xWindow="0" yWindow="1956" windowWidth="20712" windowHeight="11004" activeTab="8" xr2:uid="{E9AE56EC-1A20-45A0-A149-D3DCBDC1C3DC}"/>
  </bookViews>
  <sheets>
    <sheet name="Задание 2" sheetId="1" r:id="rId1"/>
    <sheet name="Задание 3" sheetId="2" r:id="rId2"/>
    <sheet name="Задание 4" sheetId="3" r:id="rId3"/>
    <sheet name="Задание 5" sheetId="4" r:id="rId4"/>
    <sheet name="Задание 6" sheetId="5" r:id="rId5"/>
    <sheet name="1." sheetId="6" r:id="rId6"/>
    <sheet name="2." sheetId="7" r:id="rId7"/>
    <sheet name="3." sheetId="8" r:id="rId8"/>
    <sheet name="4.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6" i="9" l="1"/>
  <c r="J16" i="9"/>
  <c r="H16" i="9"/>
  <c r="F16" i="9"/>
  <c r="E16" i="9"/>
  <c r="D16" i="9"/>
  <c r="C16" i="9"/>
  <c r="B16" i="9"/>
  <c r="M15" i="9"/>
  <c r="K15" i="9"/>
  <c r="L15" i="9" s="1"/>
  <c r="J15" i="9"/>
  <c r="I15" i="9"/>
  <c r="G15" i="9"/>
  <c r="F15" i="9"/>
  <c r="E15" i="9"/>
  <c r="D15" i="9"/>
  <c r="C15" i="9"/>
  <c r="C12" i="9"/>
  <c r="C13" i="9"/>
  <c r="C11" i="9"/>
  <c r="C10" i="9"/>
  <c r="K10" i="7"/>
  <c r="I10" i="7"/>
  <c r="G10" i="7"/>
  <c r="E10" i="7"/>
  <c r="C10" i="7"/>
  <c r="G11" i="7"/>
  <c r="I11" i="7"/>
  <c r="K11" i="7"/>
  <c r="E11" i="7"/>
  <c r="C11" i="7"/>
  <c r="C7" i="7"/>
  <c r="C6" i="7"/>
  <c r="C5" i="7"/>
  <c r="C4" i="7"/>
  <c r="C5" i="6"/>
  <c r="D5" i="6"/>
  <c r="E5" i="6"/>
  <c r="F5" i="6"/>
  <c r="G5" i="6"/>
  <c r="B5" i="6"/>
  <c r="D7" i="5"/>
  <c r="D6" i="5"/>
  <c r="C3" i="5"/>
  <c r="D3" i="5"/>
  <c r="E3" i="5"/>
  <c r="F3" i="5"/>
  <c r="G3" i="5"/>
  <c r="H3" i="5"/>
  <c r="I3" i="5"/>
  <c r="B3" i="5"/>
  <c r="A6" i="4"/>
  <c r="C5" i="3"/>
  <c r="D5" i="3"/>
  <c r="E5" i="3"/>
  <c r="F5" i="3"/>
  <c r="G5" i="3"/>
  <c r="H5" i="3"/>
  <c r="B5" i="3"/>
  <c r="K2" i="2" a="1"/>
  <c r="K2" i="2" s="1"/>
  <c r="L2" i="2" s="1"/>
  <c r="J2" i="2"/>
  <c r="J3" i="1"/>
  <c r="I3" i="1"/>
  <c r="G3" i="1" a="1"/>
  <c r="G3" i="1" s="1"/>
  <c r="H3" i="1" a="1"/>
  <c r="H3" i="1" s="1"/>
  <c r="F3" i="1"/>
  <c r="E3" i="1"/>
  <c r="H15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<sst xmlns="http://schemas.openxmlformats.org/spreadsheetml/2006/main" count="47" uniqueCount="43">
  <si>
    <t>A</t>
  </si>
  <si>
    <t>B</t>
  </si>
  <si>
    <t>Cр. Зн. Инт</t>
  </si>
  <si>
    <t>Средний балл больше у группы А</t>
  </si>
  <si>
    <t>[60, 40)</t>
  </si>
  <si>
    <t>[80,60)</t>
  </si>
  <si>
    <t>[100,80)</t>
  </si>
  <si>
    <t>[40, 20]</t>
  </si>
  <si>
    <t>дисп A</t>
  </si>
  <si>
    <t>дисп B</t>
  </si>
  <si>
    <t>ср. откл A</t>
  </si>
  <si>
    <t>ср. Откл B</t>
  </si>
  <si>
    <t>Разброс меньше у B</t>
  </si>
  <si>
    <t>[10,20]</t>
  </si>
  <si>
    <t>[20,30]</t>
  </si>
  <si>
    <t>[40,50]</t>
  </si>
  <si>
    <t>[50,60]</t>
  </si>
  <si>
    <t>0-10</t>
  </si>
  <si>
    <t>[30, 40]</t>
  </si>
  <si>
    <t>Интер</t>
  </si>
  <si>
    <t>Кол-во</t>
  </si>
  <si>
    <t>Cр. Выбор</t>
  </si>
  <si>
    <t>Дисп</t>
  </si>
  <si>
    <t>Ср. Кв откл</t>
  </si>
  <si>
    <t>Серед</t>
  </si>
  <si>
    <t>Макс частота - 2</t>
  </si>
  <si>
    <t>Значений с этой частотой - 3</t>
  </si>
  <si>
    <t>Ответ - 3</t>
  </si>
  <si>
    <t>n</t>
  </si>
  <si>
    <t xml:space="preserve">Медиана </t>
  </si>
  <si>
    <t>Медиана</t>
  </si>
  <si>
    <t>Среднее</t>
  </si>
  <si>
    <t xml:space="preserve">Мода </t>
  </si>
  <si>
    <t>min</t>
  </si>
  <si>
    <t>max</t>
  </si>
  <si>
    <t>n Инт</t>
  </si>
  <si>
    <t>h</t>
  </si>
  <si>
    <t>Инт</t>
  </si>
  <si>
    <t>Ср</t>
  </si>
  <si>
    <t>Кол</t>
  </si>
  <si>
    <t>Min</t>
  </si>
  <si>
    <t>Max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</si>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</sst>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/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3'!$A$2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'Задание 3'!$B$1:$G$1</c:f>
              <c:strCache>
                <c:ptCount val="6"/>
                <c:pt idx="0">
                  <c:v>0-10</c:v>
                </c:pt>
                <c:pt idx="1">
                  <c:v>[10,20]</c:v>
                </c:pt>
                <c:pt idx="2">
                  <c:v>[20,30]</c:v>
                </c:pt>
                <c:pt idx="3">
                  <c:v>[30, 40]</c:v>
                </c:pt>
                <c:pt idx="4">
                  <c:v>[40,50]</c:v>
                </c:pt>
                <c:pt idx="5">
                  <c:v>[50,60]</c:v>
                </c:pt>
              </c:strCache>
            </c:strRef>
          </c:cat>
          <c:val>
            <c:numRef>
              <c:f>'Задание 3'!$B$2:$G$2</c:f>
              <c:numCache>
                <c:formatCode>General</c:formatCode>
                <c:ptCount val="6"/>
                <c:pt idx="0">
                  <c:v>15</c:v>
                </c:pt>
                <c:pt idx="1">
                  <c:v>7</c:v>
                </c:pt>
                <c:pt idx="2">
                  <c:v>10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C-4561-AC4C-C785E5B69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24560"/>
        <c:axId val="163922480"/>
      </c:barChart>
      <c:catAx>
        <c:axId val="16392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922480"/>
        <c:crosses val="autoZero"/>
        <c:auto val="1"/>
        <c:lblAlgn val="ctr"/>
        <c:lblOffset val="100"/>
        <c:noMultiLvlLbl val="0"/>
      </c:catAx>
      <c:valAx>
        <c:axId val="16392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92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Дискретный</a:t>
            </a:r>
            <a:r>
              <a:rPr lang="ru-RU" baseline="0"/>
              <a:t> вариационный ряд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'1.'!$B$4:$G$4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'1.'!$B$5:$G$5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E-4143-98CB-2DEB4D4B4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053024"/>
        <c:axId val="1091779824"/>
      </c:scatterChart>
      <c:valAx>
        <c:axId val="124605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1779824"/>
        <c:crosses val="autoZero"/>
        <c:crossBetween val="midCat"/>
      </c:valAx>
      <c:valAx>
        <c:axId val="10917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605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Интервальный</a:t>
            </a:r>
            <a:r>
              <a:rPr lang="ru-RU" baseline="0"/>
              <a:t> вариационный ряд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'2.'!$B$10</c:f>
              <c:strCache>
                <c:ptCount val="1"/>
                <c:pt idx="0">
                  <c:v>Кол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'2.'!$C$9:$L$9</c:f>
              <c:numCache>
                <c:formatCode>General</c:formatCode>
                <c:ptCount val="10"/>
                <c:pt idx="0">
                  <c:v>2</c:v>
                </c:pt>
                <c:pt idx="1">
                  <c:v>32</c:v>
                </c:pt>
                <c:pt idx="2">
                  <c:v>32</c:v>
                </c:pt>
                <c:pt idx="3">
                  <c:v>62</c:v>
                </c:pt>
                <c:pt idx="4">
                  <c:v>62</c:v>
                </c:pt>
                <c:pt idx="5">
                  <c:v>92</c:v>
                </c:pt>
                <c:pt idx="6">
                  <c:v>92</c:v>
                </c:pt>
                <c:pt idx="7">
                  <c:v>122</c:v>
                </c:pt>
                <c:pt idx="8">
                  <c:v>122</c:v>
                </c:pt>
                <c:pt idx="9">
                  <c:v>152</c:v>
                </c:pt>
              </c:numCache>
            </c:numRef>
          </c:xVal>
          <c:yVal>
            <c:numRef>
              <c:f>'2.'!$C$10:$L$10</c:f>
              <c:numCache>
                <c:formatCode>General</c:formatCode>
                <c:ptCount val="10"/>
                <c:pt idx="0">
                  <c:v>11</c:v>
                </c:pt>
                <c:pt idx="1">
                  <c:v>11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5-47F1-8E25-ED37B65EE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065184"/>
        <c:axId val="223063104"/>
      </c:scatterChart>
      <c:valAx>
        <c:axId val="22306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3063104"/>
        <c:crosses val="autoZero"/>
        <c:crossBetween val="midCat"/>
      </c:valAx>
      <c:valAx>
        <c:axId val="22306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306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'3.'!$B$2:$I$2</c:f>
              <c:numCache>
                <c:formatCode>General</c:formatCode>
                <c:ptCount val="8"/>
                <c:pt idx="0">
                  <c:v>0</c:v>
                </c:pt>
                <c:pt idx="1">
                  <c:v>5000</c:v>
                </c:pt>
                <c:pt idx="2">
                  <c:v>5000</c:v>
                </c:pt>
                <c:pt idx="3">
                  <c:v>7000</c:v>
                </c:pt>
                <c:pt idx="4">
                  <c:v>7000</c:v>
                </c:pt>
                <c:pt idx="5">
                  <c:v>10000</c:v>
                </c:pt>
                <c:pt idx="6">
                  <c:v>10000</c:v>
                </c:pt>
                <c:pt idx="7">
                  <c:v>15000</c:v>
                </c:pt>
              </c:numCache>
            </c:numRef>
          </c:xVal>
          <c:yVal>
            <c:numRef>
              <c:f>'3.'!$B$3:$I$3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12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FE-42DA-B5D1-52DDD18F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52544"/>
        <c:axId val="225255040"/>
      </c:scatterChart>
      <c:valAx>
        <c:axId val="22525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55040"/>
        <c:crosses val="autoZero"/>
        <c:crossBetween val="midCat"/>
        <c:majorUnit val="1000"/>
      </c:valAx>
      <c:valAx>
        <c:axId val="2252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5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'3.'!$B$5:$E$5</c:f>
              <c:numCache>
                <c:formatCode>General</c:formatCode>
                <c:ptCount val="4"/>
                <c:pt idx="0">
                  <c:v>5000</c:v>
                </c:pt>
                <c:pt idx="1">
                  <c:v>7000</c:v>
                </c:pt>
                <c:pt idx="2">
                  <c:v>10000</c:v>
                </c:pt>
                <c:pt idx="3">
                  <c:v>15000</c:v>
                </c:pt>
              </c:numCache>
            </c:numRef>
          </c:xVal>
          <c:yVal>
            <c:numRef>
              <c:f>'3.'!$B$6:$E$6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24</c:v>
                </c:pt>
                <c:pt idx="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3-411B-84D2-2CB9E471D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445264"/>
        <c:axId val="284444016"/>
      </c:scatterChart>
      <c:valAx>
        <c:axId val="28444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444016"/>
        <c:crosses val="autoZero"/>
        <c:crossBetween val="midCat"/>
      </c:valAx>
      <c:valAx>
        <c:axId val="28444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44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'4.'!$B$15:$M$15</c:f>
              <c:numCache>
                <c:formatCode>General</c:formatCode>
                <c:ptCount val="12"/>
                <c:pt idx="0">
                  <c:v>14.15</c:v>
                </c:pt>
                <c:pt idx="1">
                  <c:v>14.24</c:v>
                </c:pt>
                <c:pt idx="2">
                  <c:v>14.24</c:v>
                </c:pt>
                <c:pt idx="3">
                  <c:v>14.33</c:v>
                </c:pt>
                <c:pt idx="4">
                  <c:v>14.33</c:v>
                </c:pt>
                <c:pt idx="5">
                  <c:v>14.42</c:v>
                </c:pt>
                <c:pt idx="6">
                  <c:v>14.42</c:v>
                </c:pt>
                <c:pt idx="7">
                  <c:v>14.51</c:v>
                </c:pt>
                <c:pt idx="8">
                  <c:v>14.51</c:v>
                </c:pt>
                <c:pt idx="9">
                  <c:v>14.6</c:v>
                </c:pt>
                <c:pt idx="10">
                  <c:v>14.6</c:v>
                </c:pt>
                <c:pt idx="11">
                  <c:v>14.69</c:v>
                </c:pt>
              </c:numCache>
            </c:numRef>
          </c:xVal>
          <c:yVal>
            <c:numRef>
              <c:f>'4.'!$B$16:$M$16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14</c:v>
                </c:pt>
                <c:pt idx="5">
                  <c:v>14</c:v>
                </c:pt>
                <c:pt idx="6">
                  <c:v>7</c:v>
                </c:pt>
                <c:pt idx="7">
                  <c:v>7</c:v>
                </c:pt>
                <c:pt idx="8">
                  <c:v>16</c:v>
                </c:pt>
                <c:pt idx="9">
                  <c:v>16</c:v>
                </c:pt>
                <c:pt idx="10">
                  <c:v>3</c:v>
                </c:pt>
                <c:pt idx="1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4A-4A78-AB58-0C385EF1A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967712"/>
        <c:axId val="283971040"/>
      </c:scatterChart>
      <c:valAx>
        <c:axId val="28396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3971040"/>
        <c:crosses val="autoZero"/>
        <c:crossBetween val="midCat"/>
      </c:valAx>
      <c:valAx>
        <c:axId val="2839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396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12</xdr:col>
      <xdr:colOff>315390</xdr:colOff>
      <xdr:row>33</xdr:row>
      <xdr:rowOff>36736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E618A5A-8E32-4D4E-9847-DE75507E6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7420"/>
          <a:ext cx="7630590" cy="3877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4</xdr:row>
      <xdr:rowOff>3810</xdr:rowOff>
    </xdr:from>
    <xdr:to>
      <xdr:col>8</xdr:col>
      <xdr:colOff>316230</xdr:colOff>
      <xdr:row>19</xdr:row>
      <xdr:rowOff>3810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2831673-86F4-40C0-915E-49EB7D243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21</xdr:row>
      <xdr:rowOff>0</xdr:rowOff>
    </xdr:from>
    <xdr:to>
      <xdr:col>12</xdr:col>
      <xdr:colOff>408678</xdr:colOff>
      <xdr:row>38</xdr:row>
      <xdr:rowOff>139518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BBF42C1-A469-4958-952C-49772B1F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840480"/>
          <a:ext cx="7220958" cy="32484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19</xdr:col>
      <xdr:colOff>534347</xdr:colOff>
      <xdr:row>21</xdr:row>
      <xdr:rowOff>21188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EADB175-99D0-497F-8AD5-84A48E41D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194560"/>
          <a:ext cx="6782747" cy="16671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8</xdr:row>
      <xdr:rowOff>7620</xdr:rowOff>
    </xdr:from>
    <xdr:to>
      <xdr:col>22</xdr:col>
      <xdr:colOff>180051</xdr:colOff>
      <xdr:row>16</xdr:row>
      <xdr:rowOff>106898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2309117-98C8-46D6-ACE0-D7B58BEC5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" y="1485900"/>
          <a:ext cx="7030431" cy="15623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18</xdr:col>
      <xdr:colOff>46667</xdr:colOff>
      <xdr:row>14</xdr:row>
      <xdr:rowOff>169722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A26CE7F-2D2B-4A87-9AB5-301D8EB2B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" y="1463040"/>
          <a:ext cx="6782747" cy="12670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327270</xdr:colOff>
      <xdr:row>6</xdr:row>
      <xdr:rowOff>162169</xdr:rowOff>
    </xdr:from>
    <xdr:to>
      <xdr:col>14</xdr:col>
      <xdr:colOff>249116</xdr:colOff>
      <xdr:row>21</xdr:row>
      <xdr:rowOff>121138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E683370-B113-481C-80DC-7E355E45C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195385</xdr:colOff>
      <xdr:row>6</xdr:row>
      <xdr:rowOff>58616</xdr:rowOff>
    </xdr:from>
    <xdr:to>
      <xdr:col>40</xdr:col>
      <xdr:colOff>175642</xdr:colOff>
      <xdr:row>12</xdr:row>
      <xdr:rowOff>21398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D886F1A-69B4-4961-A2ED-389DD8306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4154" y="1172308"/>
          <a:ext cx="7287642" cy="1076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308610</xdr:colOff>
      <xdr:row>11</xdr:row>
      <xdr:rowOff>179070</xdr:rowOff>
    </xdr:from>
    <xdr:to>
      <xdr:col>14</xdr:col>
      <xdr:colOff>293370</xdr:colOff>
      <xdr:row>26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C55520B-95D2-4133-8A55-6E08C6219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</xdr:row>
      <xdr:rowOff>160020</xdr:rowOff>
    </xdr:from>
    <xdr:to>
      <xdr:col>38</xdr:col>
      <xdr:colOff>75357</xdr:colOff>
      <xdr:row>6</xdr:row>
      <xdr:rowOff>171554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0EF1953-0AE1-4FEE-A1C2-2D682A9BE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4900" y="525780"/>
          <a:ext cx="7611537" cy="7430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8</xdr:row>
      <xdr:rowOff>11430</xdr:rowOff>
    </xdr:from>
    <xdr:to>
      <xdr:col>10</xdr:col>
      <xdr:colOff>30480</xdr:colOff>
      <xdr:row>24</xdr:row>
      <xdr:rowOff>45720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C4EBFB-A586-4D0F-89BA-952FEE651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605790</xdr:colOff>
      <xdr:row>26</xdr:row>
      <xdr:rowOff>11430</xdr:rowOff>
    </xdr:from>
    <xdr:to>
      <xdr:col>9</xdr:col>
      <xdr:colOff>0</xdr:colOff>
      <xdr:row>42</xdr:row>
      <xdr:rowOff>7620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A868DA6-5FB7-4C70-AFAB-7CF68D95B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23</xdr:col>
      <xdr:colOff>534495</xdr:colOff>
      <xdr:row>19</xdr:row>
      <xdr:rowOff>168097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A6784D5-5441-4831-98BF-291981C64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0" y="365760"/>
          <a:ext cx="7849695" cy="32770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12</xdr:col>
      <xdr:colOff>7620</xdr:colOff>
      <xdr:row>34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D9C5648-D050-4AF3-B1A4-FE72A6212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22860</xdr:colOff>
      <xdr:row>6</xdr:row>
      <xdr:rowOff>22860</xdr:rowOff>
    </xdr:from>
    <xdr:to>
      <xdr:col>30</xdr:col>
      <xdr:colOff>292541</xdr:colOff>
      <xdr:row>25</xdr:row>
      <xdr:rowOff>171958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965032E-2A1D-4D04-999B-5D738F841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0340" y="1120140"/>
          <a:ext cx="7706801" cy="3639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38B5-6ADA-4BA4-BE0C-73402E7C9A83}">
  <dimension ref="A2:J9"/>
  <sheetViews>
    <sheetView workbookViewId="0">
      <selection activeCell="A13" sqref="A13"/>
    </sheetView>
  </sheetViews>
  <sheetFormatPr defaultRowHeight="14.4" x14ac:dyDescent="0.3"/>
  <sheetData>
    <row r="2" spans="1:10" x14ac:dyDescent="0.3">
      <c r="B2" s="1" t="s">
        <v>2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x14ac:dyDescent="0.3">
      <c r="A3" t="s">
        <v>6</v>
      </c>
      <c r="B3" s="1">
        <v>90</v>
      </c>
      <c r="C3" s="1">
        <v>4</v>
      </c>
      <c r="D3" s="1">
        <v>3</v>
      </c>
      <c r="E3" s="1">
        <f>SUMPRODUCT(B3:B6,C3:C6)/SUM(C3:C6)</f>
        <v>62.173913043478258</v>
      </c>
      <c r="F3" s="1">
        <f>SUMPRODUCT(B3:B6,D3:D6)/SUM(D3:D6)</f>
        <v>59.629629629629626</v>
      </c>
      <c r="G3" cm="1">
        <f t="array" ref="G3">SUMPRODUCT((B3:B6-F3)^2*C3:C6)/SUM(C3:C6)</f>
        <v>310.44313234329337</v>
      </c>
      <c r="H3" cm="1">
        <f t="array" ref="H3">SUMPRODUCT((B3:B6-F3)^2*D3:D6)/SUM(D3:D6)</f>
        <v>277.64060356652948</v>
      </c>
      <c r="I3" s="5">
        <f>SQRT(G3)</f>
        <v>17.619396480677008</v>
      </c>
      <c r="J3" s="5">
        <f>SQRT(H3)</f>
        <v>16.662550932151099</v>
      </c>
    </row>
    <row r="4" spans="1:10" x14ac:dyDescent="0.3">
      <c r="A4" t="s">
        <v>5</v>
      </c>
      <c r="B4" s="1">
        <v>70</v>
      </c>
      <c r="C4" s="1">
        <v>8</v>
      </c>
      <c r="D4" s="1">
        <v>10</v>
      </c>
      <c r="E4" s="1"/>
      <c r="F4" s="1"/>
    </row>
    <row r="5" spans="1:10" x14ac:dyDescent="0.3">
      <c r="A5" t="s">
        <v>4</v>
      </c>
      <c r="B5" s="1">
        <v>50</v>
      </c>
      <c r="C5" s="1">
        <v>9</v>
      </c>
      <c r="D5" s="1">
        <v>11</v>
      </c>
      <c r="E5" s="1"/>
      <c r="F5" s="1"/>
    </row>
    <row r="6" spans="1:10" x14ac:dyDescent="0.3">
      <c r="A6" t="s">
        <v>7</v>
      </c>
      <c r="B6" s="1">
        <v>30</v>
      </c>
      <c r="C6" s="1">
        <v>2</v>
      </c>
      <c r="D6" s="1">
        <v>3</v>
      </c>
      <c r="E6" s="1"/>
      <c r="F6" s="1"/>
    </row>
    <row r="7" spans="1:10" ht="15" thickBot="1" x14ac:dyDescent="0.35"/>
    <row r="8" spans="1:10" ht="15" thickBot="1" x14ac:dyDescent="0.35">
      <c r="B8" s="12" t="s">
        <v>3</v>
      </c>
      <c r="C8" s="13"/>
      <c r="D8" s="13"/>
      <c r="E8" s="14"/>
    </row>
    <row r="9" spans="1:10" ht="15" thickBot="1" x14ac:dyDescent="0.35">
      <c r="B9" s="12" t="s">
        <v>12</v>
      </c>
      <c r="C9" s="13"/>
      <c r="D9" s="13"/>
      <c r="E9" s="14"/>
    </row>
  </sheetData>
  <mergeCells count="2">
    <mergeCell ref="B8:E8"/>
    <mergeCell ref="B9:E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E5B1-ECEB-4FA6-80A4-6A170FDE4C60}">
  <dimension ref="A1:L3"/>
  <sheetViews>
    <sheetView workbookViewId="0">
      <selection activeCell="B22" sqref="B22"/>
    </sheetView>
  </sheetViews>
  <sheetFormatPr defaultRowHeight="14.4" x14ac:dyDescent="0.3"/>
  <cols>
    <col min="1" max="9" width="8.88671875" style="2"/>
    <col min="10" max="10" width="10.44140625" style="2" customWidth="1"/>
    <col min="11" max="16384" width="8.88671875" style="2"/>
  </cols>
  <sheetData>
    <row r="1" spans="1:12" x14ac:dyDescent="0.3">
      <c r="A1" s="2" t="s">
        <v>19</v>
      </c>
      <c r="B1" s="2" t="s">
        <v>17</v>
      </c>
      <c r="C1" s="6" t="s">
        <v>13</v>
      </c>
      <c r="D1" s="2" t="s">
        <v>14</v>
      </c>
      <c r="E1" s="2" t="s">
        <v>18</v>
      </c>
      <c r="F1" s="2" t="s">
        <v>15</v>
      </c>
      <c r="G1" s="2" t="s">
        <v>16</v>
      </c>
      <c r="J1" s="2" t="s">
        <v>21</v>
      </c>
      <c r="K1" s="2" t="s">
        <v>22</v>
      </c>
      <c r="L1" s="2" t="s">
        <v>23</v>
      </c>
    </row>
    <row r="2" spans="1:12" x14ac:dyDescent="0.3">
      <c r="A2" s="2" t="s">
        <v>20</v>
      </c>
      <c r="B2" s="2">
        <v>15</v>
      </c>
      <c r="C2" s="2">
        <v>7</v>
      </c>
      <c r="D2" s="2">
        <v>10</v>
      </c>
      <c r="E2" s="2">
        <v>4</v>
      </c>
      <c r="F2" s="2">
        <v>6</v>
      </c>
      <c r="G2" s="2">
        <v>8</v>
      </c>
      <c r="J2" s="2">
        <f>SUMPRODUCT(B3:G3, B2:G2)/SUM(B2:G2)</f>
        <v>25.6</v>
      </c>
      <c r="K2" s="2" cm="1">
        <f t="array" ref="K2">SUMPRODUCT((B3:G3-23.33)^2, B2:G2)/SUM(B2:G2)</f>
        <v>338.79289999999992</v>
      </c>
      <c r="L2" s="2">
        <f>SQRT(K2)</f>
        <v>18.406327716304517</v>
      </c>
    </row>
    <row r="3" spans="1:12" x14ac:dyDescent="0.3">
      <c r="A3" s="2" t="s">
        <v>24</v>
      </c>
      <c r="B3" s="2">
        <v>5</v>
      </c>
      <c r="C3" s="2">
        <v>15</v>
      </c>
      <c r="D3" s="2">
        <v>25</v>
      </c>
      <c r="E3" s="2">
        <v>35</v>
      </c>
      <c r="F3" s="2">
        <v>45</v>
      </c>
      <c r="G3" s="2">
        <v>55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0731-F537-4990-90FA-D067729EBFD3}">
  <dimension ref="B2:K10"/>
  <sheetViews>
    <sheetView topLeftCell="A5" workbookViewId="0">
      <selection activeCell="B13" sqref="B13"/>
    </sheetView>
  </sheetViews>
  <sheetFormatPr defaultRowHeight="14.4" x14ac:dyDescent="0.3"/>
  <cols>
    <col min="2" max="11" width="2" bestFit="1" customWidth="1"/>
  </cols>
  <sheetData>
    <row r="2" spans="2:11" x14ac:dyDescent="0.3">
      <c r="B2">
        <v>0</v>
      </c>
      <c r="C2">
        <v>1</v>
      </c>
      <c r="D2">
        <v>2</v>
      </c>
      <c r="E2">
        <v>2</v>
      </c>
      <c r="F2">
        <v>3</v>
      </c>
      <c r="G2">
        <v>4</v>
      </c>
      <c r="H2">
        <v>5</v>
      </c>
      <c r="I2">
        <v>5</v>
      </c>
      <c r="J2">
        <v>6</v>
      </c>
      <c r="K2">
        <v>6</v>
      </c>
    </row>
    <row r="4" spans="2:11" x14ac:dyDescent="0.3"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</row>
    <row r="5" spans="2:11" x14ac:dyDescent="0.3">
      <c r="B5">
        <f>COUNTIF($B$2:$K$2,B4)</f>
        <v>1</v>
      </c>
      <c r="C5">
        <f t="shared" ref="C5:H5" si="0">COUNTIF($B$2:$K$2,C4)</f>
        <v>1</v>
      </c>
      <c r="D5">
        <f t="shared" si="0"/>
        <v>2</v>
      </c>
      <c r="E5">
        <f t="shared" si="0"/>
        <v>1</v>
      </c>
      <c r="F5">
        <f t="shared" si="0"/>
        <v>1</v>
      </c>
      <c r="G5">
        <f t="shared" si="0"/>
        <v>2</v>
      </c>
      <c r="H5">
        <f t="shared" si="0"/>
        <v>2</v>
      </c>
    </row>
    <row r="7" spans="2:11" x14ac:dyDescent="0.3">
      <c r="B7" t="s">
        <v>25</v>
      </c>
    </row>
    <row r="8" spans="2:11" x14ac:dyDescent="0.3">
      <c r="B8" t="s">
        <v>26</v>
      </c>
    </row>
    <row r="10" spans="2:11" x14ac:dyDescent="0.3">
      <c r="B10" t="s">
        <v>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9B50-27F7-4E00-858B-18E9CAF31344}">
  <dimension ref="A1:K6"/>
  <sheetViews>
    <sheetView workbookViewId="0">
      <selection activeCell="C9" sqref="C9"/>
    </sheetView>
  </sheetViews>
  <sheetFormatPr defaultColWidth="4.77734375" defaultRowHeight="14.4" x14ac:dyDescent="0.3"/>
  <cols>
    <col min="1" max="16384" width="4.77734375" style="2"/>
  </cols>
  <sheetData>
    <row r="1" spans="1:11" ht="15" thickBot="1" x14ac:dyDescent="0.35"/>
    <row r="2" spans="1:11" ht="15" thickBot="1" x14ac:dyDescent="0.35">
      <c r="A2" s="2" t="s">
        <v>28</v>
      </c>
      <c r="B2" s="2">
        <v>0</v>
      </c>
      <c r="C2" s="2">
        <v>1</v>
      </c>
      <c r="D2" s="2">
        <v>2</v>
      </c>
      <c r="E2" s="2">
        <v>2</v>
      </c>
      <c r="F2" s="3">
        <v>3</v>
      </c>
      <c r="G2" s="4">
        <v>4</v>
      </c>
      <c r="H2" s="2">
        <v>5</v>
      </c>
      <c r="I2" s="2">
        <v>5</v>
      </c>
      <c r="J2" s="2">
        <v>6</v>
      </c>
      <c r="K2" s="2">
        <v>6</v>
      </c>
    </row>
    <row r="3" spans="1:11" x14ac:dyDescent="0.3">
      <c r="A3" s="2">
        <v>10</v>
      </c>
    </row>
    <row r="5" spans="1:11" x14ac:dyDescent="0.3">
      <c r="A5" s="15" t="s">
        <v>29</v>
      </c>
      <c r="B5" s="15"/>
      <c r="C5" s="15"/>
    </row>
    <row r="6" spans="1:11" x14ac:dyDescent="0.3">
      <c r="A6" s="15">
        <f>(3+4)/2</f>
        <v>3.5</v>
      </c>
      <c r="B6" s="15"/>
      <c r="C6" s="15"/>
    </row>
  </sheetData>
  <mergeCells count="2">
    <mergeCell ref="A5:C5"/>
    <mergeCell ref="A6:C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0E41-E452-464D-BAE3-99CD7404EAB7}">
  <dimension ref="A2:I7"/>
  <sheetViews>
    <sheetView workbookViewId="0">
      <selection activeCell="B9" sqref="B9"/>
    </sheetView>
  </sheetViews>
  <sheetFormatPr defaultColWidth="5.77734375" defaultRowHeight="14.4" x14ac:dyDescent="0.3"/>
  <sheetData>
    <row r="2" spans="1:9" x14ac:dyDescent="0.3">
      <c r="A2" t="s">
        <v>28</v>
      </c>
      <c r="B2">
        <v>-1</v>
      </c>
      <c r="C2">
        <v>0</v>
      </c>
      <c r="D2">
        <v>2</v>
      </c>
      <c r="E2">
        <v>2</v>
      </c>
      <c r="F2">
        <v>3</v>
      </c>
      <c r="G2">
        <v>4</v>
      </c>
      <c r="H2">
        <v>5</v>
      </c>
      <c r="I2">
        <v>9</v>
      </c>
    </row>
    <row r="3" spans="1:9" x14ac:dyDescent="0.3">
      <c r="A3">
        <v>8</v>
      </c>
      <c r="B3">
        <f>COUNTIF($B$2:$J$2,B2)</f>
        <v>1</v>
      </c>
      <c r="C3">
        <f t="shared" ref="C3:I3" si="0">COUNTIF($B$2:$J$2,C2)</f>
        <v>1</v>
      </c>
      <c r="D3">
        <f t="shared" si="0"/>
        <v>2</v>
      </c>
      <c r="E3">
        <f t="shared" si="0"/>
        <v>2</v>
      </c>
      <c r="F3">
        <f t="shared" si="0"/>
        <v>1</v>
      </c>
      <c r="G3">
        <f t="shared" si="0"/>
        <v>1</v>
      </c>
      <c r="H3">
        <f t="shared" si="0"/>
        <v>1</v>
      </c>
      <c r="I3">
        <f t="shared" si="0"/>
        <v>1</v>
      </c>
    </row>
    <row r="5" spans="1:9" x14ac:dyDescent="0.3">
      <c r="B5" s="15" t="s">
        <v>32</v>
      </c>
      <c r="C5" s="15"/>
      <c r="D5">
        <v>2</v>
      </c>
    </row>
    <row r="6" spans="1:9" x14ac:dyDescent="0.3">
      <c r="B6" s="15" t="s">
        <v>30</v>
      </c>
      <c r="C6" s="15"/>
      <c r="D6">
        <f>(E2+F2)/2</f>
        <v>2.5</v>
      </c>
    </row>
    <row r="7" spans="1:9" x14ac:dyDescent="0.3">
      <c r="B7" s="15" t="s">
        <v>31</v>
      </c>
      <c r="C7" s="15"/>
      <c r="D7">
        <f>AVERAGE(B2:I2)</f>
        <v>3</v>
      </c>
    </row>
  </sheetData>
  <mergeCells count="3">
    <mergeCell ref="B6:C6"/>
    <mergeCell ref="B7:C7"/>
    <mergeCell ref="B5:C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338A-8872-4F55-AD26-AA035D34333C}">
  <dimension ref="B2:X5"/>
  <sheetViews>
    <sheetView zoomScale="78" workbookViewId="0">
      <selection activeCell="T4" sqref="T4"/>
    </sheetView>
  </sheetViews>
  <sheetFormatPr defaultColWidth="4.77734375" defaultRowHeight="14.4" x14ac:dyDescent="0.3"/>
  <sheetData>
    <row r="2" spans="2:24" x14ac:dyDescent="0.3">
      <c r="B2">
        <v>4</v>
      </c>
      <c r="C2">
        <v>2</v>
      </c>
      <c r="D2">
        <v>4</v>
      </c>
      <c r="E2">
        <v>6</v>
      </c>
      <c r="F2">
        <v>5</v>
      </c>
      <c r="G2">
        <v>6</v>
      </c>
      <c r="H2">
        <v>4</v>
      </c>
      <c r="I2">
        <v>1</v>
      </c>
      <c r="J2">
        <v>2</v>
      </c>
      <c r="K2">
        <v>5</v>
      </c>
      <c r="L2">
        <v>2</v>
      </c>
      <c r="M2">
        <v>6</v>
      </c>
      <c r="N2">
        <v>3</v>
      </c>
      <c r="O2">
        <v>1</v>
      </c>
      <c r="P2">
        <v>2</v>
      </c>
      <c r="Q2">
        <v>3</v>
      </c>
      <c r="R2">
        <v>4</v>
      </c>
      <c r="S2">
        <v>5</v>
      </c>
      <c r="T2">
        <v>4</v>
      </c>
      <c r="U2">
        <v>6</v>
      </c>
      <c r="V2">
        <v>2</v>
      </c>
      <c r="W2">
        <v>3</v>
      </c>
      <c r="X2">
        <v>4</v>
      </c>
    </row>
    <row r="4" spans="2:24" x14ac:dyDescent="0.3">
      <c r="B4">
        <v>1</v>
      </c>
      <c r="C4">
        <v>2</v>
      </c>
      <c r="D4">
        <v>3</v>
      </c>
      <c r="E4">
        <v>4</v>
      </c>
      <c r="F4">
        <v>5</v>
      </c>
      <c r="G4">
        <v>6</v>
      </c>
    </row>
    <row r="5" spans="2:24" x14ac:dyDescent="0.3">
      <c r="B5">
        <f>COUNTIF($B$2:$X$2,B4)</f>
        <v>2</v>
      </c>
      <c r="C5">
        <f t="shared" ref="C5:G5" si="0">COUNTIF($B$2:$X$2,C4)</f>
        <v>5</v>
      </c>
      <c r="D5">
        <f t="shared" si="0"/>
        <v>3</v>
      </c>
      <c r="E5">
        <f t="shared" si="0"/>
        <v>6</v>
      </c>
      <c r="F5">
        <f t="shared" si="0"/>
        <v>3</v>
      </c>
      <c r="G5">
        <f t="shared" si="0"/>
        <v>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4CEC-16AC-421D-A8D6-06318B58EF7E}">
  <dimension ref="B2:U11"/>
  <sheetViews>
    <sheetView workbookViewId="0">
      <selection activeCell="S8" sqref="S8"/>
    </sheetView>
  </sheetViews>
  <sheetFormatPr defaultColWidth="4.77734375" defaultRowHeight="14.4" x14ac:dyDescent="0.3"/>
  <sheetData>
    <row r="2" spans="2:21" x14ac:dyDescent="0.3">
      <c r="B2">
        <v>60</v>
      </c>
      <c r="C2">
        <v>25</v>
      </c>
      <c r="D2">
        <v>12</v>
      </c>
      <c r="E2">
        <v>10</v>
      </c>
      <c r="F2">
        <v>68</v>
      </c>
      <c r="G2">
        <v>35</v>
      </c>
      <c r="H2">
        <v>2</v>
      </c>
      <c r="I2">
        <v>17</v>
      </c>
      <c r="J2">
        <v>51</v>
      </c>
      <c r="K2">
        <v>9</v>
      </c>
      <c r="L2">
        <v>3</v>
      </c>
      <c r="M2">
        <v>130</v>
      </c>
      <c r="N2">
        <v>24</v>
      </c>
      <c r="O2">
        <v>85</v>
      </c>
      <c r="P2">
        <v>100</v>
      </c>
      <c r="Q2">
        <v>152</v>
      </c>
      <c r="R2">
        <v>6</v>
      </c>
      <c r="S2">
        <v>18</v>
      </c>
      <c r="T2">
        <v>7</v>
      </c>
      <c r="U2">
        <v>42</v>
      </c>
    </row>
    <row r="4" spans="2:21" x14ac:dyDescent="0.3">
      <c r="B4" t="s">
        <v>33</v>
      </c>
      <c r="C4">
        <f>MIN(B2:U2)</f>
        <v>2</v>
      </c>
    </row>
    <row r="5" spans="2:21" x14ac:dyDescent="0.3">
      <c r="B5" t="s">
        <v>34</v>
      </c>
      <c r="C5">
        <f>MAX(B2:U2)</f>
        <v>152</v>
      </c>
    </row>
    <row r="6" spans="2:21" x14ac:dyDescent="0.3">
      <c r="B6" t="s">
        <v>35</v>
      </c>
      <c r="C6">
        <f>1+3.322*LOG(COUNT(B2:U2),10)</f>
        <v>5.3220216455957452</v>
      </c>
    </row>
    <row r="7" spans="2:21" x14ac:dyDescent="0.3">
      <c r="B7" t="s">
        <v>36</v>
      </c>
      <c r="C7">
        <f>(C5-C4)/5</f>
        <v>30</v>
      </c>
    </row>
    <row r="9" spans="2:21" x14ac:dyDescent="0.3">
      <c r="B9" t="s">
        <v>37</v>
      </c>
      <c r="C9">
        <v>2</v>
      </c>
      <c r="D9">
        <v>32</v>
      </c>
      <c r="E9">
        <v>32</v>
      </c>
      <c r="F9">
        <v>62</v>
      </c>
      <c r="G9">
        <v>62</v>
      </c>
      <c r="H9">
        <v>92</v>
      </c>
      <c r="I9">
        <v>92</v>
      </c>
      <c r="J9">
        <v>122</v>
      </c>
      <c r="K9">
        <v>122</v>
      </c>
      <c r="L9">
        <v>152</v>
      </c>
    </row>
    <row r="10" spans="2:21" x14ac:dyDescent="0.3">
      <c r="B10" t="s">
        <v>39</v>
      </c>
      <c r="C10" s="2">
        <f>COUNTIFS($B$2:$U$2,"&gt;=2",$B$2:$U$2,"&lt;32")</f>
        <v>11</v>
      </c>
      <c r="D10" s="2">
        <v>11</v>
      </c>
      <c r="E10" s="2">
        <f>COUNTIFS($B$2:$U$2,"&gt;=32",$B$2:$U$2,"&lt;62")</f>
        <v>4</v>
      </c>
      <c r="F10" s="2">
        <v>4</v>
      </c>
      <c r="G10" s="2">
        <f>COUNTIFS($B$2:$U$2,"&gt;=62",$B$2:$U$2,"&lt;92")</f>
        <v>2</v>
      </c>
      <c r="H10" s="2">
        <v>2</v>
      </c>
      <c r="I10" s="2">
        <f>COUNTIFS($B$2:$U$2,"&gt;=92",$B$2:$U$2,"&lt;122")</f>
        <v>1</v>
      </c>
      <c r="J10" s="2">
        <v>1</v>
      </c>
      <c r="K10" s="2">
        <f>COUNTIFS($B$2:$U$2,"&gt;=122",$B$2:$U$2,"&lt;=152")</f>
        <v>2</v>
      </c>
      <c r="L10" s="2">
        <v>2</v>
      </c>
    </row>
    <row r="11" spans="2:21" x14ac:dyDescent="0.3">
      <c r="B11" t="s">
        <v>38</v>
      </c>
      <c r="C11" s="15">
        <f>AVERAGE(C9:D9)</f>
        <v>17</v>
      </c>
      <c r="D11" s="15"/>
      <c r="E11" s="15">
        <f>AVERAGE(E9:F9)</f>
        <v>47</v>
      </c>
      <c r="F11" s="15"/>
      <c r="G11" s="15">
        <f>AVERAGE(G9:H9)</f>
        <v>77</v>
      </c>
      <c r="H11" s="15"/>
      <c r="I11" s="15">
        <f>AVERAGE(I9:J9)</f>
        <v>107</v>
      </c>
      <c r="J11" s="15"/>
      <c r="K11" s="15">
        <f>AVERAGE(K9:L9)</f>
        <v>137</v>
      </c>
      <c r="L11" s="15"/>
    </row>
  </sheetData>
  <mergeCells count="5">
    <mergeCell ref="C11:D11"/>
    <mergeCell ref="E11:F11"/>
    <mergeCell ref="G11:H11"/>
    <mergeCell ref="I11:J11"/>
    <mergeCell ref="K11:L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719E-A30C-4A44-9514-C17E650E9F52}">
  <dimension ref="B2:I6"/>
  <sheetViews>
    <sheetView workbookViewId="0">
      <selection activeCell="L3" sqref="L3"/>
    </sheetView>
  </sheetViews>
  <sheetFormatPr defaultRowHeight="14.4" x14ac:dyDescent="0.3"/>
  <sheetData>
    <row r="2" spans="2:9" x14ac:dyDescent="0.3">
      <c r="B2">
        <v>0</v>
      </c>
      <c r="C2">
        <v>5000</v>
      </c>
      <c r="D2">
        <v>5000</v>
      </c>
      <c r="E2">
        <v>7000</v>
      </c>
      <c r="F2">
        <v>7000</v>
      </c>
      <c r="G2">
        <v>10000</v>
      </c>
      <c r="H2">
        <v>10000</v>
      </c>
      <c r="I2">
        <v>15000</v>
      </c>
    </row>
    <row r="3" spans="2:9" x14ac:dyDescent="0.3">
      <c r="B3">
        <v>4</v>
      </c>
      <c r="C3">
        <v>4</v>
      </c>
      <c r="D3">
        <v>12</v>
      </c>
      <c r="E3">
        <v>12</v>
      </c>
      <c r="F3">
        <v>8</v>
      </c>
      <c r="G3">
        <v>8</v>
      </c>
      <c r="H3">
        <v>6</v>
      </c>
      <c r="I3">
        <v>6</v>
      </c>
    </row>
    <row r="5" spans="2:9" x14ac:dyDescent="0.3">
      <c r="B5">
        <v>5000</v>
      </c>
      <c r="C5">
        <v>7000</v>
      </c>
      <c r="D5">
        <v>10000</v>
      </c>
      <c r="E5">
        <v>15000</v>
      </c>
    </row>
    <row r="6" spans="2:9" x14ac:dyDescent="0.3">
      <c r="B6">
        <v>4</v>
      </c>
      <c r="C6">
        <v>16</v>
      </c>
      <c r="D6">
        <v>24</v>
      </c>
      <c r="E6">
        <v>30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D442-2AB8-4D43-A27D-9C9CD28F223A}">
  <dimension ref="B2:M16"/>
  <sheetViews>
    <sheetView tabSelected="1" topLeftCell="A6" workbookViewId="0">
      <selection activeCell="Q12" sqref="Q12"/>
    </sheetView>
  </sheetViews>
  <sheetFormatPr defaultColWidth="6.77734375" defaultRowHeight="14.4" x14ac:dyDescent="0.3"/>
  <sheetData>
    <row r="2" spans="2:13" x14ac:dyDescent="0.3">
      <c r="B2">
        <v>14.51</v>
      </c>
      <c r="C2">
        <v>14.42</v>
      </c>
      <c r="D2">
        <v>14.56</v>
      </c>
      <c r="E2">
        <v>14.47</v>
      </c>
      <c r="F2">
        <v>14.46</v>
      </c>
      <c r="G2">
        <v>14.35</v>
      </c>
      <c r="H2">
        <v>14.48</v>
      </c>
      <c r="I2">
        <v>14.53</v>
      </c>
    </row>
    <row r="3" spans="2:13" x14ac:dyDescent="0.3">
      <c r="B3">
        <v>14.21</v>
      </c>
      <c r="C3">
        <v>14.31</v>
      </c>
      <c r="D3">
        <v>14.35</v>
      </c>
      <c r="E3">
        <v>14.68</v>
      </c>
      <c r="F3">
        <v>14.56</v>
      </c>
      <c r="G3">
        <v>14.28</v>
      </c>
      <c r="H3">
        <v>14.36</v>
      </c>
      <c r="I3">
        <v>14.21</v>
      </c>
    </row>
    <row r="4" spans="2:13" x14ac:dyDescent="0.3">
      <c r="B4">
        <v>14.52</v>
      </c>
      <c r="C4">
        <v>14.23</v>
      </c>
      <c r="D4">
        <v>14.41</v>
      </c>
      <c r="E4">
        <v>14.46</v>
      </c>
      <c r="F4">
        <v>14.69</v>
      </c>
      <c r="G4">
        <v>14.54</v>
      </c>
      <c r="H4">
        <v>14.36</v>
      </c>
      <c r="I4">
        <v>14.15</v>
      </c>
    </row>
    <row r="5" spans="2:13" x14ac:dyDescent="0.3">
      <c r="B5">
        <v>14.37</v>
      </c>
      <c r="C5">
        <v>14.51</v>
      </c>
      <c r="D5">
        <v>14.25</v>
      </c>
      <c r="E5">
        <v>14.55</v>
      </c>
      <c r="F5">
        <v>14.51</v>
      </c>
      <c r="G5">
        <v>14.36</v>
      </c>
      <c r="H5">
        <v>14.62</v>
      </c>
      <c r="I5">
        <v>14.55</v>
      </c>
    </row>
    <row r="6" spans="2:13" x14ac:dyDescent="0.3">
      <c r="B6">
        <v>14.38</v>
      </c>
      <c r="C6">
        <v>14.33</v>
      </c>
      <c r="D6">
        <v>14.4</v>
      </c>
      <c r="E6">
        <v>14.52</v>
      </c>
      <c r="F6">
        <v>14.48</v>
      </c>
      <c r="G6">
        <v>14.51</v>
      </c>
      <c r="H6">
        <v>14.55</v>
      </c>
      <c r="I6">
        <v>14.39</v>
      </c>
    </row>
    <row r="7" spans="2:13" x14ac:dyDescent="0.3">
      <c r="B7">
        <v>14.54</v>
      </c>
      <c r="C7">
        <v>14.58</v>
      </c>
      <c r="D7">
        <v>14.48</v>
      </c>
      <c r="E7">
        <v>14.37</v>
      </c>
      <c r="F7">
        <v>14.38</v>
      </c>
      <c r="G7">
        <v>14.51</v>
      </c>
      <c r="H7">
        <v>14.36</v>
      </c>
      <c r="I7">
        <v>14.15</v>
      </c>
    </row>
    <row r="8" spans="2:13" x14ac:dyDescent="0.3">
      <c r="B8">
        <v>14.24</v>
      </c>
      <c r="C8">
        <v>14.32</v>
      </c>
    </row>
    <row r="10" spans="2:13" x14ac:dyDescent="0.3">
      <c r="B10" t="s">
        <v>40</v>
      </c>
      <c r="C10">
        <f>MIN(B2:I8)</f>
        <v>14.15</v>
      </c>
    </row>
    <row r="11" spans="2:13" x14ac:dyDescent="0.3">
      <c r="B11" t="s">
        <v>41</v>
      </c>
      <c r="C11">
        <f>MAX(B2:I8)</f>
        <v>14.69</v>
      </c>
    </row>
    <row r="12" spans="2:13" x14ac:dyDescent="0.3">
      <c r="B12" t="s">
        <v>42</v>
      </c>
      <c r="C12" s="7">
        <f>1+3.322*LOG(50.1)</f>
        <v>6.6468609253309907</v>
      </c>
    </row>
    <row r="13" spans="2:13" x14ac:dyDescent="0.3">
      <c r="B13" t="s">
        <v>36</v>
      </c>
      <c r="C13">
        <f>(C11-C10)/6</f>
        <v>8.9999999999999858E-2</v>
      </c>
    </row>
    <row r="14" spans="2:13" ht="15" thickBot="1" x14ac:dyDescent="0.35"/>
    <row r="15" spans="2:13" x14ac:dyDescent="0.3">
      <c r="B15" s="8">
        <v>14.15</v>
      </c>
      <c r="C15" s="9">
        <f>B15+C13</f>
        <v>14.24</v>
      </c>
      <c r="D15" s="8">
        <f>C15</f>
        <v>14.24</v>
      </c>
      <c r="E15" s="9">
        <f>D15+C13</f>
        <v>14.33</v>
      </c>
      <c r="F15" s="8">
        <f t="shared" ref="F15" si="0">E15</f>
        <v>14.33</v>
      </c>
      <c r="G15" s="9">
        <f>F15+C13</f>
        <v>14.42</v>
      </c>
      <c r="H15" s="8">
        <f t="shared" ref="H15:L15" si="1">G15</f>
        <v>14.42</v>
      </c>
      <c r="I15" s="9">
        <f>H15+C13</f>
        <v>14.51</v>
      </c>
      <c r="J15" s="8">
        <f t="shared" si="1"/>
        <v>14.51</v>
      </c>
      <c r="K15" s="9">
        <f>J15+C13</f>
        <v>14.6</v>
      </c>
      <c r="L15" s="8">
        <f t="shared" si="1"/>
        <v>14.6</v>
      </c>
      <c r="M15" s="9">
        <f>L15+C13</f>
        <v>14.69</v>
      </c>
    </row>
    <row r="16" spans="2:13" ht="15" thickBot="1" x14ac:dyDescent="0.35">
      <c r="B16" s="10">
        <f>COUNTIFS($B$2:$I$8,"&gt;=14,15",$B$2:$I$8,"&lt;14,24")</f>
        <v>5</v>
      </c>
      <c r="C16" s="11">
        <f t="shared" ref="C16" si="2">COUNTIFS($B$2:$I$8,"&gt;=14,15",$B$2:$I$8,"&lt;14,24")</f>
        <v>5</v>
      </c>
      <c r="D16" s="10">
        <f>COUNTIFS($B$2:$I$8,"&gt;=14,24",$B$2:$I$8,"&lt;14,33")</f>
        <v>5</v>
      </c>
      <c r="E16" s="11">
        <f>COUNTIFS($B$2:$I$8,"&gt;=14,24",$B$2:$I$8,"&lt;14,33")</f>
        <v>5</v>
      </c>
      <c r="F16" s="10">
        <f>COUNTIFS($B$2:$I$8,"&gt;=14,33",$B$2:$I$8,"&lt;14,42")</f>
        <v>14</v>
      </c>
      <c r="G16" s="11">
        <v>14</v>
      </c>
      <c r="H16" s="10">
        <f>COUNTIFS($B$2:$I$8,"&gt;=14,42",$B$2:$I$8,"&lt;14,51")</f>
        <v>7</v>
      </c>
      <c r="I16" s="11">
        <v>7</v>
      </c>
      <c r="J16" s="10">
        <f>COUNTIFS($B$2:$I$8,"&gt;=14,51",$B$2:$I$8,"&lt;14,6")</f>
        <v>16</v>
      </c>
      <c r="K16" s="11">
        <v>16</v>
      </c>
      <c r="L16" s="10">
        <f>COUNTIFS($B$2:$I$8,"&gt;=14,6",$B$2:$I$8,"&lt;=14,69")</f>
        <v>3</v>
      </c>
      <c r="M16" s="1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Задание 2</vt:lpstr>
      <vt:lpstr>Задание 3</vt:lpstr>
      <vt:lpstr>Задание 4</vt:lpstr>
      <vt:lpstr>Задание 5</vt:lpstr>
      <vt:lpstr>Задание 6</vt:lpstr>
      <vt:lpstr>1.</vt:lpstr>
      <vt:lpstr>2.</vt:lpstr>
      <vt:lpstr>3.</vt:lpstr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Froliv</cp:lastModifiedBy>
  <dcterms:created xsi:type="dcterms:W3CDTF">2025-11-05T07:20:59Z</dcterms:created>
  <dcterms:modified xsi:type="dcterms:W3CDTF">2025-11-05T09:06:51Z</dcterms:modified>
</cp:coreProperties>
</file>