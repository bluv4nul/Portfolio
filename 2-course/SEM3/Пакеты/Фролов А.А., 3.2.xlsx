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8_{06E4CC2B-08E5-4590-B6B0-18AD50EBE859}" xr6:coauthVersionLast="47" xr6:coauthVersionMax="47" xr10:uidLastSave="{00000000-0000-0000-0000-000000000000}"/>
  <bookViews>
    <workbookView xWindow="14025" yWindow="0" windowWidth="14880" windowHeight="16305" firstSheet="4" activeTab="6" xr2:uid="{00000000-000D-0000-FFFF-FFFF00000000}"/>
    <workbookView xWindow="-105" yWindow="0" windowWidth="14340" windowHeight="16305" activeTab="1" xr2:uid="{FA485BCF-1FB7-46F2-8749-95522415BEA4}"/>
  </bookViews>
  <sheets>
    <sheet name="первоначальная" sheetId="1" r:id="rId1"/>
    <sheet name="Для шкал" sheetId="6" r:id="rId2"/>
    <sheet name="Люди" sheetId="4" r:id="rId3"/>
    <sheet name="Популярная нейросеть " sheetId="2" r:id="rId4"/>
    <sheet name="Для каких задач" sheetId="3" r:id="rId5"/>
    <sheet name="Шкалы" sheetId="5" r:id="rId6"/>
    <sheet name="Сводная по частоте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2" i="7"/>
  <c r="D3" i="7"/>
  <c r="D4" i="7"/>
  <c r="D2" i="7"/>
  <c r="C3" i="7"/>
  <c r="C4" i="7"/>
  <c r="C2" i="7"/>
  <c r="B4" i="7"/>
  <c r="B3" i="7"/>
  <c r="B2" i="7"/>
  <c r="C5" i="5"/>
  <c r="C4" i="5"/>
  <c r="C3" i="5"/>
  <c r="C2" i="5"/>
  <c r="B5" i="5"/>
  <c r="B4" i="5"/>
  <c r="B3" i="5"/>
  <c r="B2" i="5"/>
  <c r="G3" i="4"/>
  <c r="G4" i="4"/>
  <c r="G5" i="4"/>
  <c r="G6" i="4"/>
  <c r="G2" i="4"/>
  <c r="B3" i="4"/>
  <c r="B4" i="4"/>
  <c r="B5" i="4"/>
  <c r="B6" i="4"/>
  <c r="B2" i="4"/>
  <c r="E7" i="3"/>
  <c r="E6" i="3"/>
  <c r="E5" i="3"/>
  <c r="E4" i="3"/>
  <c r="E3" i="3"/>
  <c r="E2" i="3"/>
  <c r="G7" i="2"/>
  <c r="G6" i="2"/>
  <c r="G5" i="2"/>
  <c r="G4" i="2"/>
  <c r="G2" i="2"/>
  <c r="G3" i="2"/>
  <c r="G9" i="2"/>
  <c r="G8" i="2"/>
</calcChain>
</file>

<file path=xl/sharedStrings.xml><?xml version="1.0" encoding="utf-8"?>
<sst xmlns="http://schemas.openxmlformats.org/spreadsheetml/2006/main" count="1441" uniqueCount="195">
  <si>
    <t>ID</t>
  </si>
  <si>
    <t>Сколько вам лет?</t>
  </si>
  <si>
    <t>Сфера деятельности</t>
  </si>
  <si>
    <t>Слышали ли вы когда-нибудь о нейросетях?</t>
  </si>
  <si>
    <t>Откуда узнали о нейросетях?</t>
  </si>
  <si>
    <t>Пользовались ли вы когда-нибудь нейросетями?</t>
  </si>
  <si>
    <t>Как часто вы пользуетесь нейросетями?</t>
  </si>
  <si>
    <t>Какими именно нейросетями вы пользуетесь?? / ChatGPT</t>
  </si>
  <si>
    <t>Какими именно нейросетями вы пользуетесь?? / DeepSeek</t>
  </si>
  <si>
    <t>Какими именно нейросетями вы пользуетесь?? / Grok</t>
  </si>
  <si>
    <t>Какими именно нейросетями вы пользуетесь?? / YandexGPT</t>
  </si>
  <si>
    <t>Какими именно нейросетями вы пользуетесь?? / GigaChat</t>
  </si>
  <si>
    <t>Какими именно нейросетями вы пользуетесь?? / Генераторы изображений (Midjourney, Kandinsky)</t>
  </si>
  <si>
    <t>Какими именно нейросетями вы пользуетесь?? / Генераторы видео (Sora  и др.)</t>
  </si>
  <si>
    <t>Какими именно нейросетями вы пользуетесь?? / Нейросети для обработки фото/видео</t>
  </si>
  <si>
    <t>Какими именно нейросетями вы пользуетесь?? / Другие</t>
  </si>
  <si>
    <t>Для каких задач вы используете нейросети? / Поиск информации, обучение</t>
  </si>
  <si>
    <t>Для каких задач вы используете нейросети? / Написание текстов</t>
  </si>
  <si>
    <t>Для каких задач вы используете нейросети? / Создание изображений, артов</t>
  </si>
  <si>
    <t>Для каких задач вы используете нейросети? / Создание видео</t>
  </si>
  <si>
    <t xml:space="preserve">Для каких задач вы используете нейросети? / Программирование </t>
  </si>
  <si>
    <t>Для каких задач вы используете нейросети? / Работа</t>
  </si>
  <si>
    <t>Для каких задач вы используете нейросети? / Развлечения</t>
  </si>
  <si>
    <t>Для каких задач вы используете нейросети? / Пока не использую</t>
  </si>
  <si>
    <t xml:space="preserve">Как вы считаете, как нейросети влияют на вашу эффективность? / </t>
  </si>
  <si>
    <t>Готовы ли вы платить за более продвинутую версию нейросети?</t>
  </si>
  <si>
    <t>Насколько вы доверяете информации нейросетей? / 1-5</t>
  </si>
  <si>
    <t>Как использование нейросетей изменится в будущем?</t>
  </si>
  <si>
    <t>Как вы считаете, какие основные риски ИИ? / Потеря работ</t>
  </si>
  <si>
    <t>Как вы считаете, какие основные риски ИИ? / Фейковая информация</t>
  </si>
  <si>
    <t>Как вы считаете, какие основные риски ИИ? / Потеря креативности</t>
  </si>
  <si>
    <t>Как вы считаете, какие основные риски ИИ? / Контроль над людьми</t>
  </si>
  <si>
    <t>Как вы считаете, какие основные риски ИИ? / Развитие лени</t>
  </si>
  <si>
    <t>Как вы считаете, какие основные риски ИИ? / Рисков не вижу</t>
  </si>
  <si>
    <t>Как вы считаете, как ИИ влияет на рынок труда?</t>
  </si>
  <si>
    <t>Насколько вы готовы осваивать новые навыки в связи с развитием ИИ? / 1-5</t>
  </si>
  <si>
    <t>Насколько вы в целом оптимистично или пессимистично относитесь к стремительному развитию искусственного интеллекта? / 1 (Чрезвычайно пессимистично) — 10 (Чрезвычайно оптимистично).</t>
  </si>
  <si>
    <t>В каких сферах, по-вашему, нейросети принесут наибольшую пользу человечеству в ближайшие 10 лет? (Выберите не более 3-х вариантов) / Медицина (диагностика, разработка лекарств)</t>
  </si>
  <si>
    <t>В каких сферах, по-вашему, нейросети принесут наибольшую пользу человечеству в ближайшие 10 лет? (Выберите не более 3-х вариантов) / Образование (персонализированное обучение)</t>
  </si>
  <si>
    <t>В каких сферах, по-вашему, нейросети принесут наибольшую пользу человечеству в ближайшие 10 лет? (Выберите не более 3-х вариантов) / Наука и исследования</t>
  </si>
  <si>
    <t>В каких сферах, по-вашему, нейросети принесут наибольшую пользу человечеству в ближайшие 10 лет? (Выберите не более 3-х вариантов) / Искусство и креативные индустрии</t>
  </si>
  <si>
    <t>В каких сферах, по-вашему, нейросети принесут наибольшую пользу человечеству в ближайшие 10 лет? (Выберите не более 3-х вариантов) / Персональные ассистенты и бытовые задачи</t>
  </si>
  <si>
    <t>В каких сферах, по-вашему, нейросети принесут наибольшую пользу человечеству в ближайшие 10 лет? (Выберите не более 3-х вариантов) / Транспорт и логистика (беспилотные системы)</t>
  </si>
  <si>
    <t>В каких сферах, по-вашему, нейросети принесут наибольшую пользу человечеству в ближайшие 10 лет? (Выберите не более 3-х вариантов) / Борьба с изменением климата</t>
  </si>
  <si>
    <t>В каких сферах, по-вашему, нейросети принесут наибольшую пользу человечеству в ближайшие 10 лет? (Выберите не более 3-х вариантов) / Кибербезопасность</t>
  </si>
  <si>
    <t>Как вы считаете, может ли музыка, картина или литературное произведение, созданные нейросетью, считаться искусством?</t>
  </si>
  <si>
    <t>Должны ли нейросети иметь авторские права?</t>
  </si>
  <si>
    <t>Представьте, что нейросеть достигла уровня, сравнимого с человеческим интеллектом (сильный ИИ). Какой из сценариев вам кажется наиболее вероятным?</t>
  </si>
  <si>
    <t>Как вы относитесь к идее романтических или дружеских отношений между человеком и ИИ?</t>
  </si>
  <si>
    <t>2208596649</t>
  </si>
  <si>
    <t>19-22</t>
  </si>
  <si>
    <t>Студент (Колледж/Университет)</t>
  </si>
  <si>
    <t>Да</t>
  </si>
  <si>
    <t>Друзья/коллеги</t>
  </si>
  <si>
    <t>Ежедневно</t>
  </si>
  <si>
    <t>ChatGPT</t>
  </si>
  <si>
    <t>DeepSeek</t>
  </si>
  <si>
    <t>Поиск информации, обучение</t>
  </si>
  <si>
    <t>Написание текстов</t>
  </si>
  <si>
    <t>Создание изображений, артов</t>
  </si>
  <si>
    <t xml:space="preserve">Программирование </t>
  </si>
  <si>
    <t>5</t>
  </si>
  <si>
    <t>Нет, мне хватает бесплатных</t>
  </si>
  <si>
    <t>3</t>
  </si>
  <si>
    <t>Буду использовать больше</t>
  </si>
  <si>
    <t>Потеря работ</t>
  </si>
  <si>
    <t>Потеря креативности</t>
  </si>
  <si>
    <t>Трансформирует профессии</t>
  </si>
  <si>
    <t>10</t>
  </si>
  <si>
    <t>Медицина (диагностика, разработка лекарств)</t>
  </si>
  <si>
    <t>Наука и исследования</t>
  </si>
  <si>
    <t>Транспорт и логистика (беспилотные системы)</t>
  </si>
  <si>
    <t>Нет, это лишь имитация и компиляция без души и замысла.</t>
  </si>
  <si>
    <t>Нет</t>
  </si>
  <si>
    <t>Симбиоз: Люди и ИИ будут тесно сотрудничать и усиливать друг друга.</t>
  </si>
  <si>
    <t>Это патология и деградация человеческих отношений.</t>
  </si>
  <si>
    <t>2208609765</t>
  </si>
  <si>
    <t>Новости</t>
  </si>
  <si>
    <t>Работа</t>
  </si>
  <si>
    <t>4</t>
  </si>
  <si>
    <t>Фейковая информация</t>
  </si>
  <si>
    <t>Развитие лени</t>
  </si>
  <si>
    <t>8</t>
  </si>
  <si>
    <t>Образование (персонализированное обучение)</t>
  </si>
  <si>
    <t>Персональные ассистенты и бытовые задачи</t>
  </si>
  <si>
    <t>Это печально, но неизбежно для некоторых людей.</t>
  </si>
  <si>
    <t>2208672120</t>
  </si>
  <si>
    <t>Развлечения</t>
  </si>
  <si>
    <t>Останусь на текущем уровне</t>
  </si>
  <si>
    <t>2</t>
  </si>
  <si>
    <t>Да, безусловно. Главное — результат, а не создатель.</t>
  </si>
  <si>
    <t>Затрудняюсь ответить</t>
  </si>
  <si>
    <t>2208695364</t>
  </si>
  <si>
    <t>17-18</t>
  </si>
  <si>
    <t>YandexGPT</t>
  </si>
  <si>
    <t>GigaChat</t>
  </si>
  <si>
    <t>Создание видео</t>
  </si>
  <si>
    <t>Да, уже плачу</t>
  </si>
  <si>
    <t>Контроль над людьми</t>
  </si>
  <si>
    <t>7</t>
  </si>
  <si>
    <t>Искусство и креативные индустрии</t>
  </si>
  <si>
    <t>Борьба с изменением климата</t>
  </si>
  <si>
    <t>Кибербезопасность</t>
  </si>
  <si>
    <t>Технологическая утопия: ИИ решит главные проблемы человечества (голод, болезни).</t>
  </si>
  <si>
    <t>Это естественное развитие будущего, я бы попробовал(а).</t>
  </si>
  <si>
    <t>2208979338</t>
  </si>
  <si>
    <t>Личный опыт</t>
  </si>
  <si>
    <t>Не знаю</t>
  </si>
  <si>
    <t>6</t>
  </si>
  <si>
    <t>Да, но это другой, особый вид искусства.</t>
  </si>
  <si>
    <t>Социальный коллапс: Массовая безработица и экономическое неравенство.</t>
  </si>
  <si>
    <t>2209297250</t>
  </si>
  <si>
    <t>Grok</t>
  </si>
  <si>
    <t>Другие</t>
  </si>
  <si>
    <t>Создаёт больше профессий</t>
  </si>
  <si>
    <t>2213618385</t>
  </si>
  <si>
    <t>Не повлияет значительно</t>
  </si>
  <si>
    <t>Затрудняюсь ответить.</t>
  </si>
  <si>
    <t>Это просто фантастика, которая никогда не станет реальностью.</t>
  </si>
  <si>
    <t>2214108153</t>
  </si>
  <si>
    <t>Несколько раз в неделю</t>
  </si>
  <si>
    <t>2214108361</t>
  </si>
  <si>
    <t>до 14</t>
  </si>
  <si>
    <t>2214108607</t>
  </si>
  <si>
    <t>Другая сфера деятельности</t>
  </si>
  <si>
    <t>Соцсети</t>
  </si>
  <si>
    <t>Редко</t>
  </si>
  <si>
    <t>Уничтожает больше профессий</t>
  </si>
  <si>
    <t>2214110028</t>
  </si>
  <si>
    <t>Генераторы изображений (Midjourney, Kandinsky)</t>
  </si>
  <si>
    <t>Генераторы видео (Sora  и др.)</t>
  </si>
  <si>
    <t>Нейросети для обработки фото/видео</t>
  </si>
  <si>
    <t>Пока не использую</t>
  </si>
  <si>
    <t>Да, рассматриваю</t>
  </si>
  <si>
    <t>Рисков не вижу</t>
  </si>
  <si>
    <t>2214113592</t>
  </si>
  <si>
    <t>46+</t>
  </si>
  <si>
    <t>IT-сфера</t>
  </si>
  <si>
    <t>2214113764</t>
  </si>
  <si>
    <t>2214113979</t>
  </si>
  <si>
    <t>Нет, я против платы за это</t>
  </si>
  <si>
    <t>2214126918</t>
  </si>
  <si>
    <t>Школьник</t>
  </si>
  <si>
    <t>2214132085</t>
  </si>
  <si>
    <t>2214157635</t>
  </si>
  <si>
    <t>9</t>
  </si>
  <si>
    <t>2214188077</t>
  </si>
  <si>
    <t>2214193525</t>
  </si>
  <si>
    <t>2214195903</t>
  </si>
  <si>
    <t>2214235916</t>
  </si>
  <si>
    <t>2214257205</t>
  </si>
  <si>
    <t>2214266629</t>
  </si>
  <si>
    <t>2214288577</t>
  </si>
  <si>
    <t>Курсы/учеба</t>
  </si>
  <si>
    <t>2214478051</t>
  </si>
  <si>
    <t>1</t>
  </si>
  <si>
    <t>2214570620</t>
  </si>
  <si>
    <t>2214649464</t>
  </si>
  <si>
    <t>Буду использовать меньше</t>
  </si>
  <si>
    <t>Потеря контроля: ИИ станет настолько могущественным, что мы не сможем им управлять.</t>
  </si>
  <si>
    <t>2214704556</t>
  </si>
  <si>
    <t>2215058867</t>
  </si>
  <si>
    <t>2215262846</t>
  </si>
  <si>
    <t>2219943466</t>
  </si>
  <si>
    <t>2222538236</t>
  </si>
  <si>
    <t>2223547405</t>
  </si>
  <si>
    <t>2225468285</t>
  </si>
  <si>
    <t>23-30</t>
  </si>
  <si>
    <t>2225474264</t>
  </si>
  <si>
    <t>2225476174</t>
  </si>
  <si>
    <t>2225479548</t>
  </si>
  <si>
    <t>Не работаю / В поиске</t>
  </si>
  <si>
    <t>2225486182</t>
  </si>
  <si>
    <t>2225492337</t>
  </si>
  <si>
    <t>2225515158</t>
  </si>
  <si>
    <t>2225535982</t>
  </si>
  <si>
    <t>2225549920</t>
  </si>
  <si>
    <t>2225990998</t>
  </si>
  <si>
    <t>2234090715</t>
  </si>
  <si>
    <t>Какими нейросетями пользуются люди?</t>
  </si>
  <si>
    <t>Выбор</t>
  </si>
  <si>
    <t>Задачи</t>
  </si>
  <si>
    <t>Возраст</t>
  </si>
  <si>
    <t>Шкала</t>
  </si>
  <si>
    <t>Среднее</t>
  </si>
  <si>
    <t>Медиана</t>
  </si>
  <si>
    <t>Доверие</t>
  </si>
  <si>
    <t>Эфективность (1-5)</t>
  </si>
  <si>
    <t>Доверие (1-5)</t>
  </si>
  <si>
    <t>Новые навыки (1-5)</t>
  </si>
  <si>
    <t>Отношение к развитию (1-10)</t>
  </si>
  <si>
    <t>Как часто пользуются</t>
  </si>
  <si>
    <t>Эффективность</t>
  </si>
  <si>
    <t>Развитие навыков</t>
  </si>
  <si>
    <t>Отношение к развитию нейросетей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</si>
</sst>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3" borderId="1" xfId="0" applyFill="1" applyBorder="1" applyAlignment="1"/>
    <xf numFmtId="0" fontId="0" fillId="3" borderId="0" xfId="0" applyFill="1" applyBorder="1" applyAlignment="1"/>
    <xf numFmtId="0" fontId="0" fillId="3" borderId="2" xfId="0" applyFill="1" applyBorder="1" applyAlignment="1"/>
    <xf numFmtId="0" fontId="0" fillId="3" borderId="3" xfId="0" applyFill="1" applyBorder="1" applyAlignment="1"/>
    <xf numFmtId="0" fontId="0" fillId="2" borderId="4" xfId="0" applyFill="1" applyBorder="1" applyAlignment="1"/>
    <xf numFmtId="0" fontId="0" fillId="2" borderId="5" xfId="0" applyFill="1" applyBorder="1" applyAlignment="1"/>
    <xf numFmtId="0" fontId="0" fillId="2" borderId="6" xfId="0" applyFill="1" applyBorder="1" applyAlignment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Возраст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Люди!$B$1</c:f>
              <c:strCache>
                <c:ptCount val="1"/>
                <c:pt idx="0">
                  <c:v>Выбор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Люди!$A$2:$A$6</c:f>
              <c:strCache>
                <c:ptCount val="5"/>
                <c:pt idx="0">
                  <c:v>19-22</c:v>
                </c:pt>
                <c:pt idx="1">
                  <c:v>17-18</c:v>
                </c:pt>
                <c:pt idx="2">
                  <c:v>23-30</c:v>
                </c:pt>
                <c:pt idx="3">
                  <c:v>46+</c:v>
                </c:pt>
                <c:pt idx="4">
                  <c:v>до 14</c:v>
                </c:pt>
              </c:strCache>
            </c:strRef>
          </c:cat>
          <c:val>
            <c:numRef>
              <c:f>Люди!$B$2:$B$6</c:f>
              <c:numCache>
                <c:formatCode>General</c:formatCode>
                <c:ptCount val="5"/>
                <c:pt idx="0">
                  <c:v>30</c:v>
                </c:pt>
                <c:pt idx="1">
                  <c:v>8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6-48A3-BCDB-839ABB442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52092319"/>
        <c:axId val="1852093279"/>
      </c:barChart>
      <c:catAx>
        <c:axId val="185209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2093279"/>
        <c:crosses val="autoZero"/>
        <c:auto val="1"/>
        <c:lblAlgn val="ctr"/>
        <c:lblOffset val="100"/>
        <c:noMultiLvlLbl val="0"/>
      </c:catAx>
      <c:valAx>
        <c:axId val="185209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2092319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Сфера деятельности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Люди!$G$1</c:f>
              <c:strCache>
                <c:ptCount val="1"/>
                <c:pt idx="0">
                  <c:v>Выбор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Люди!$D$2:$D$6</c:f>
              <c:strCache>
                <c:ptCount val="5"/>
                <c:pt idx="0">
                  <c:v>Студент (Колледж/Университет)</c:v>
                </c:pt>
                <c:pt idx="1">
                  <c:v>Другая сфера деятельности</c:v>
                </c:pt>
                <c:pt idx="2">
                  <c:v>IT-сфера</c:v>
                </c:pt>
                <c:pt idx="3">
                  <c:v>Школьник</c:v>
                </c:pt>
                <c:pt idx="4">
                  <c:v>Не работаю / В поиске</c:v>
                </c:pt>
              </c:strCache>
            </c:strRef>
          </c:cat>
          <c:val>
            <c:numRef>
              <c:f>Люди!$G$2:$G$6</c:f>
              <c:numCache>
                <c:formatCode>General</c:formatCode>
                <c:ptCount val="5"/>
                <c:pt idx="0">
                  <c:v>30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9-4845-A8C6-7C940DE50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852091839"/>
        <c:axId val="1852104319"/>
      </c:barChart>
      <c:catAx>
        <c:axId val="185209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2104319"/>
        <c:crosses val="autoZero"/>
        <c:auto val="1"/>
        <c:lblAlgn val="ctr"/>
        <c:lblOffset val="100"/>
        <c:noMultiLvlLbl val="0"/>
      </c:catAx>
      <c:valAx>
        <c:axId val="185210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2091839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Популярность</a:t>
            </a:r>
            <a:r>
              <a:rPr lang="ru-RU" baseline="0"/>
              <a:t> нейросетей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1602362204724408E-2"/>
          <c:y val="0.10770934749147232"/>
          <c:w val="0.92714763779527554"/>
          <c:h val="0.705392570161478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'Популярная нейросеть '!$G$1</c:f>
              <c:strCache>
                <c:ptCount val="1"/>
                <c:pt idx="0">
                  <c:v>Выбор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D2-4DB8-A32D-567AD6D577B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'Популярная нейросеть '!$A$2:$A$9</c:f>
              <c:strCache>
                <c:ptCount val="8"/>
                <c:pt idx="0">
                  <c:v>Grok</c:v>
                </c:pt>
                <c:pt idx="1">
                  <c:v>YandexGPT</c:v>
                </c:pt>
                <c:pt idx="2">
                  <c:v>GigaChat</c:v>
                </c:pt>
                <c:pt idx="3">
                  <c:v>Генераторы изображений (Midjourney, Kandinsky)</c:v>
                </c:pt>
                <c:pt idx="4">
                  <c:v>Генераторы видео (Sora  и др.)</c:v>
                </c:pt>
                <c:pt idx="5">
                  <c:v>Нейросети для обработки фото/видео</c:v>
                </c:pt>
                <c:pt idx="6">
                  <c:v>ChatGPT</c:v>
                </c:pt>
                <c:pt idx="7">
                  <c:v>DeepSeek</c:v>
                </c:pt>
              </c:strCache>
            </c:strRef>
          </c:cat>
          <c:val>
            <c:numRef>
              <c:f>'Популярная нейросеть '!$G$2:$G$9</c:f>
              <c:numCache>
                <c:formatCode>General</c:formatCode>
                <c:ptCount val="8"/>
                <c:pt idx="0">
                  <c:v>6</c:v>
                </c:pt>
                <c:pt idx="1">
                  <c:v>12</c:v>
                </c:pt>
                <c:pt idx="2">
                  <c:v>9</c:v>
                </c:pt>
                <c:pt idx="3">
                  <c:v>8</c:v>
                </c:pt>
                <c:pt idx="4">
                  <c:v>5</c:v>
                </c:pt>
                <c:pt idx="5">
                  <c:v>7</c:v>
                </c:pt>
                <c:pt idx="6">
                  <c:v>34</c:v>
                </c:pt>
                <c:pt idx="7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2-4DB8-A32D-567AD6D57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852099519"/>
        <c:axId val="1852104799"/>
      </c:barChart>
      <c:catAx>
        <c:axId val="185209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2104799"/>
        <c:crosses val="autoZero"/>
        <c:auto val="1"/>
        <c:lblAlgn val="ctr"/>
        <c:lblOffset val="100"/>
        <c:noMultiLvlLbl val="0"/>
      </c:catAx>
      <c:valAx>
        <c:axId val="185210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2099519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Использование</a:t>
            </a:r>
            <a:r>
              <a:rPr lang="ru-RU" baseline="0"/>
              <a:t> нейросетей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'Для каких задач'!$E$1</c:f>
              <c:strCache>
                <c:ptCount val="1"/>
                <c:pt idx="0">
                  <c:v>Выбор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cat>
            <c:strRef>
              <c:f>'Для каких задач'!$A$2:$A$7</c:f>
              <c:strCache>
                <c:ptCount val="6"/>
                <c:pt idx="0">
                  <c:v>Поиск информации, обучение</c:v>
                </c:pt>
                <c:pt idx="1">
                  <c:v>Написание текстов</c:v>
                </c:pt>
                <c:pt idx="2">
                  <c:v>Создание изображений, артов</c:v>
                </c:pt>
                <c:pt idx="3">
                  <c:v>Программирование </c:v>
                </c:pt>
                <c:pt idx="4">
                  <c:v>Работа</c:v>
                </c:pt>
                <c:pt idx="5">
                  <c:v>Развлечения</c:v>
                </c:pt>
              </c:strCache>
            </c:strRef>
          </c:cat>
          <c:val>
            <c:numRef>
              <c:f>'Для каких задач'!$E$2:$E$7</c:f>
              <c:numCache>
                <c:formatCode>General</c:formatCode>
                <c:ptCount val="6"/>
                <c:pt idx="0">
                  <c:v>40</c:v>
                </c:pt>
                <c:pt idx="1">
                  <c:v>34</c:v>
                </c:pt>
                <c:pt idx="2">
                  <c:v>14</c:v>
                </c:pt>
                <c:pt idx="3">
                  <c:v>22</c:v>
                </c:pt>
                <c:pt idx="4">
                  <c:v>14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2-4134-AF93-ECA7DF4A1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52109119"/>
        <c:axId val="1852098559"/>
      </c:barChart>
      <c:catAx>
        <c:axId val="185210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2098559"/>
        <c:crosses val="autoZero"/>
        <c:auto val="1"/>
        <c:lblAlgn val="ctr"/>
        <c:lblOffset val="100"/>
        <c:noMultiLvlLbl val="0"/>
      </c:catAx>
      <c:valAx>
        <c:axId val="185209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2109119"/>
        <c:crosses val="autoZero"/>
        <c:crossBetween val="between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9</xdr:row>
      <xdr:rowOff>1</xdr:rowOff>
    </xdr:from>
    <xdr:to>
      <xdr:col>9</xdr:col>
      <xdr:colOff>600075</xdr:colOff>
      <xdr:row>28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0A49276-FE9E-690E-B622-6BCC2E654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276224</xdr:colOff>
      <xdr:row>29</xdr:row>
      <xdr:rowOff>166686</xdr:rowOff>
    </xdr:from>
    <xdr:to>
      <xdr:col>10</xdr:col>
      <xdr:colOff>28574</xdr:colOff>
      <xdr:row>51</xdr:row>
      <xdr:rowOff>142875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8430C02-1CB3-DDF0-A1F3-7ADD2E39C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11</xdr:row>
      <xdr:rowOff>19050</xdr:rowOff>
    </xdr:from>
    <xdr:to>
      <xdr:col>10</xdr:col>
      <xdr:colOff>19050</xdr:colOff>
      <xdr:row>32</xdr:row>
      <xdr:rowOff>38099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BB5F9F8-E74F-2B05-4639-A37144FCD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9</xdr:row>
      <xdr:rowOff>33336</xdr:rowOff>
    </xdr:from>
    <xdr:to>
      <xdr:col>11</xdr:col>
      <xdr:colOff>161925</xdr:colOff>
      <xdr:row>29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622313F-493C-3F1E-40F2-CB46B40AD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5"/>
  <sheetViews>
    <sheetView topLeftCell="AD1" zoomScale="70" zoomScaleNormal="70" workbookViewId="0">
      <selection sqref="A1:AW45"/>
    </sheetView>
    <sheetView workbookViewId="1">
      <selection activeCell="G1" sqref="G1:G1048576"/>
    </sheetView>
  </sheetViews>
  <sheetFormatPr defaultRowHeight="15" x14ac:dyDescent="0.25"/>
  <sheetData>
    <row r="1" spans="1:49" s="1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52</v>
      </c>
      <c r="G2" t="s">
        <v>54</v>
      </c>
      <c r="H2" t="s">
        <v>55</v>
      </c>
      <c r="I2" t="s">
        <v>56</v>
      </c>
      <c r="Q2" t="s">
        <v>57</v>
      </c>
      <c r="R2" t="s">
        <v>58</v>
      </c>
      <c r="S2" t="s">
        <v>59</v>
      </c>
      <c r="U2" t="s">
        <v>60</v>
      </c>
      <c r="Y2" t="s">
        <v>61</v>
      </c>
      <c r="Z2" t="s">
        <v>62</v>
      </c>
      <c r="AA2" t="s">
        <v>63</v>
      </c>
      <c r="AB2" t="s">
        <v>64</v>
      </c>
      <c r="AC2" t="s">
        <v>65</v>
      </c>
      <c r="AE2" t="s">
        <v>66</v>
      </c>
      <c r="AI2" t="s">
        <v>67</v>
      </c>
      <c r="AJ2" t="s">
        <v>61</v>
      </c>
      <c r="AK2" t="s">
        <v>68</v>
      </c>
      <c r="AL2" t="s">
        <v>69</v>
      </c>
      <c r="AN2" t="s">
        <v>70</v>
      </c>
      <c r="AQ2" t="s">
        <v>71</v>
      </c>
      <c r="AT2" t="s">
        <v>72</v>
      </c>
      <c r="AU2" t="s">
        <v>73</v>
      </c>
      <c r="AV2" t="s">
        <v>74</v>
      </c>
      <c r="AW2" t="s">
        <v>75</v>
      </c>
    </row>
    <row r="3" spans="1:49" x14ac:dyDescent="0.25">
      <c r="A3" t="s">
        <v>76</v>
      </c>
      <c r="B3" t="s">
        <v>50</v>
      </c>
      <c r="C3" t="s">
        <v>51</v>
      </c>
      <c r="D3" t="s">
        <v>52</v>
      </c>
      <c r="E3" t="s">
        <v>77</v>
      </c>
      <c r="F3" t="s">
        <v>52</v>
      </c>
      <c r="G3" t="s">
        <v>54</v>
      </c>
      <c r="H3" t="s">
        <v>55</v>
      </c>
      <c r="I3" t="s">
        <v>56</v>
      </c>
      <c r="Q3" t="s">
        <v>57</v>
      </c>
      <c r="R3" t="s">
        <v>58</v>
      </c>
      <c r="U3" t="s">
        <v>60</v>
      </c>
      <c r="V3" t="s">
        <v>78</v>
      </c>
      <c r="Y3" t="s">
        <v>61</v>
      </c>
      <c r="Z3" t="s">
        <v>62</v>
      </c>
      <c r="AA3" t="s">
        <v>79</v>
      </c>
      <c r="AB3" t="s">
        <v>64</v>
      </c>
      <c r="AD3" t="s">
        <v>80</v>
      </c>
      <c r="AE3" t="s">
        <v>66</v>
      </c>
      <c r="AG3" t="s">
        <v>81</v>
      </c>
      <c r="AI3" t="s">
        <v>67</v>
      </c>
      <c r="AJ3" t="s">
        <v>63</v>
      </c>
      <c r="AK3" t="s">
        <v>82</v>
      </c>
      <c r="AL3" t="s">
        <v>69</v>
      </c>
      <c r="AM3" t="s">
        <v>83</v>
      </c>
      <c r="AN3" t="s">
        <v>70</v>
      </c>
      <c r="AP3" t="s">
        <v>84</v>
      </c>
      <c r="AQ3" t="s">
        <v>71</v>
      </c>
      <c r="AT3" t="s">
        <v>72</v>
      </c>
      <c r="AU3" t="s">
        <v>73</v>
      </c>
      <c r="AV3" t="s">
        <v>74</v>
      </c>
      <c r="AW3" t="s">
        <v>85</v>
      </c>
    </row>
    <row r="4" spans="1:49" x14ac:dyDescent="0.25">
      <c r="A4" t="s">
        <v>86</v>
      </c>
      <c r="B4" t="s">
        <v>50</v>
      </c>
      <c r="C4" t="s">
        <v>51</v>
      </c>
      <c r="D4" t="s">
        <v>52</v>
      </c>
      <c r="E4" t="s">
        <v>53</v>
      </c>
      <c r="F4" t="s">
        <v>52</v>
      </c>
      <c r="G4" t="s">
        <v>54</v>
      </c>
      <c r="I4" t="s">
        <v>56</v>
      </c>
      <c r="Q4" t="s">
        <v>57</v>
      </c>
      <c r="W4" t="s">
        <v>87</v>
      </c>
      <c r="Y4" t="s">
        <v>79</v>
      </c>
      <c r="Z4" t="s">
        <v>62</v>
      </c>
      <c r="AA4" t="s">
        <v>63</v>
      </c>
      <c r="AB4" t="s">
        <v>88</v>
      </c>
      <c r="AC4" t="s">
        <v>65</v>
      </c>
      <c r="AI4" t="s">
        <v>67</v>
      </c>
      <c r="AJ4" t="s">
        <v>89</v>
      </c>
      <c r="AK4" t="s">
        <v>63</v>
      </c>
      <c r="AL4" t="s">
        <v>69</v>
      </c>
      <c r="AM4" t="s">
        <v>83</v>
      </c>
      <c r="AT4" t="s">
        <v>90</v>
      </c>
      <c r="AU4" t="s">
        <v>91</v>
      </c>
      <c r="AV4" t="s">
        <v>74</v>
      </c>
      <c r="AW4" t="s">
        <v>85</v>
      </c>
    </row>
    <row r="5" spans="1:49" x14ac:dyDescent="0.25">
      <c r="A5" t="s">
        <v>92</v>
      </c>
      <c r="B5" t="s">
        <v>93</v>
      </c>
      <c r="C5" t="s">
        <v>51</v>
      </c>
      <c r="D5" t="s">
        <v>52</v>
      </c>
      <c r="E5" t="s">
        <v>53</v>
      </c>
      <c r="F5" t="s">
        <v>52</v>
      </c>
      <c r="G5" t="s">
        <v>54</v>
      </c>
      <c r="H5" t="s">
        <v>55</v>
      </c>
      <c r="I5" t="s">
        <v>56</v>
      </c>
      <c r="K5" t="s">
        <v>94</v>
      </c>
      <c r="L5" t="s">
        <v>95</v>
      </c>
      <c r="Q5" t="s">
        <v>57</v>
      </c>
      <c r="R5" t="s">
        <v>58</v>
      </c>
      <c r="S5" t="s">
        <v>59</v>
      </c>
      <c r="T5" t="s">
        <v>96</v>
      </c>
      <c r="U5" t="s">
        <v>60</v>
      </c>
      <c r="V5" t="s">
        <v>78</v>
      </c>
      <c r="W5" t="s">
        <v>87</v>
      </c>
      <c r="Y5" t="s">
        <v>61</v>
      </c>
      <c r="Z5" t="s">
        <v>97</v>
      </c>
      <c r="AA5" t="s">
        <v>61</v>
      </c>
      <c r="AB5" t="s">
        <v>64</v>
      </c>
      <c r="AC5" t="s">
        <v>65</v>
      </c>
      <c r="AD5" t="s">
        <v>80</v>
      </c>
      <c r="AE5" t="s">
        <v>66</v>
      </c>
      <c r="AF5" t="s">
        <v>98</v>
      </c>
      <c r="AG5" t="s">
        <v>81</v>
      </c>
      <c r="AI5" t="s">
        <v>67</v>
      </c>
      <c r="AJ5" t="s">
        <v>63</v>
      </c>
      <c r="AK5" t="s">
        <v>99</v>
      </c>
      <c r="AL5" t="s">
        <v>69</v>
      </c>
      <c r="AM5" t="s">
        <v>83</v>
      </c>
      <c r="AN5" t="s">
        <v>70</v>
      </c>
      <c r="AO5" t="s">
        <v>100</v>
      </c>
      <c r="AP5" t="s">
        <v>84</v>
      </c>
      <c r="AQ5" t="s">
        <v>71</v>
      </c>
      <c r="AR5" t="s">
        <v>101</v>
      </c>
      <c r="AS5" t="s">
        <v>102</v>
      </c>
      <c r="AT5" t="s">
        <v>90</v>
      </c>
      <c r="AU5" t="s">
        <v>52</v>
      </c>
      <c r="AV5" t="s">
        <v>103</v>
      </c>
      <c r="AW5" t="s">
        <v>104</v>
      </c>
    </row>
    <row r="6" spans="1:49" x14ac:dyDescent="0.25">
      <c r="A6" t="s">
        <v>105</v>
      </c>
      <c r="B6" t="s">
        <v>50</v>
      </c>
      <c r="C6" t="s">
        <v>51</v>
      </c>
      <c r="D6" t="s">
        <v>52</v>
      </c>
      <c r="E6" t="s">
        <v>106</v>
      </c>
      <c r="F6" t="s">
        <v>52</v>
      </c>
      <c r="G6" t="s">
        <v>54</v>
      </c>
      <c r="H6" t="s">
        <v>55</v>
      </c>
      <c r="I6" t="s">
        <v>56</v>
      </c>
      <c r="Q6" t="s">
        <v>57</v>
      </c>
      <c r="R6" t="s">
        <v>58</v>
      </c>
      <c r="U6" t="s">
        <v>60</v>
      </c>
      <c r="Y6" t="s">
        <v>63</v>
      </c>
      <c r="Z6" t="s">
        <v>62</v>
      </c>
      <c r="AA6" t="s">
        <v>89</v>
      </c>
      <c r="AB6" t="s">
        <v>107</v>
      </c>
      <c r="AC6" t="s">
        <v>65</v>
      </c>
      <c r="AD6" t="s">
        <v>80</v>
      </c>
      <c r="AE6" t="s">
        <v>66</v>
      </c>
      <c r="AI6" t="s">
        <v>67</v>
      </c>
      <c r="AJ6" t="s">
        <v>63</v>
      </c>
      <c r="AK6" t="s">
        <v>108</v>
      </c>
      <c r="AL6" t="s">
        <v>69</v>
      </c>
      <c r="AM6" t="s">
        <v>83</v>
      </c>
      <c r="AP6" t="s">
        <v>84</v>
      </c>
      <c r="AQ6" t="s">
        <v>71</v>
      </c>
      <c r="AT6" t="s">
        <v>109</v>
      </c>
      <c r="AU6" t="s">
        <v>73</v>
      </c>
      <c r="AV6" t="s">
        <v>110</v>
      </c>
      <c r="AW6" t="s">
        <v>75</v>
      </c>
    </row>
    <row r="7" spans="1:49" x14ac:dyDescent="0.25">
      <c r="A7" t="s">
        <v>111</v>
      </c>
      <c r="B7" t="s">
        <v>50</v>
      </c>
      <c r="C7" t="s">
        <v>51</v>
      </c>
      <c r="D7" t="s">
        <v>52</v>
      </c>
      <c r="E7" t="s">
        <v>106</v>
      </c>
      <c r="F7" t="s">
        <v>52</v>
      </c>
      <c r="G7" t="s">
        <v>54</v>
      </c>
      <c r="H7" t="s">
        <v>55</v>
      </c>
      <c r="I7" t="s">
        <v>56</v>
      </c>
      <c r="J7" t="s">
        <v>112</v>
      </c>
      <c r="P7" t="s">
        <v>113</v>
      </c>
      <c r="Q7" t="s">
        <v>57</v>
      </c>
      <c r="R7" t="s">
        <v>58</v>
      </c>
      <c r="Y7" t="s">
        <v>63</v>
      </c>
      <c r="Z7" t="s">
        <v>62</v>
      </c>
      <c r="AA7" t="s">
        <v>89</v>
      </c>
      <c r="AB7" t="s">
        <v>88</v>
      </c>
      <c r="AD7" t="s">
        <v>80</v>
      </c>
      <c r="AG7" t="s">
        <v>81</v>
      </c>
      <c r="AI7" t="s">
        <v>114</v>
      </c>
      <c r="AJ7" t="s">
        <v>61</v>
      </c>
      <c r="AK7" t="s">
        <v>99</v>
      </c>
      <c r="AM7" t="s">
        <v>83</v>
      </c>
      <c r="AP7" t="s">
        <v>84</v>
      </c>
      <c r="AQ7" t="s">
        <v>71</v>
      </c>
      <c r="AT7" t="s">
        <v>72</v>
      </c>
      <c r="AU7" t="s">
        <v>52</v>
      </c>
      <c r="AV7" t="s">
        <v>74</v>
      </c>
      <c r="AW7" t="s">
        <v>85</v>
      </c>
    </row>
    <row r="8" spans="1:49" x14ac:dyDescent="0.25">
      <c r="A8" t="s">
        <v>115</v>
      </c>
      <c r="B8" t="s">
        <v>93</v>
      </c>
      <c r="C8" t="s">
        <v>51</v>
      </c>
      <c r="D8" t="s">
        <v>52</v>
      </c>
      <c r="E8" t="s">
        <v>53</v>
      </c>
      <c r="F8" t="s">
        <v>52</v>
      </c>
      <c r="G8" t="s">
        <v>54</v>
      </c>
      <c r="I8" t="s">
        <v>56</v>
      </c>
      <c r="P8" t="s">
        <v>113</v>
      </c>
      <c r="Q8" t="s">
        <v>57</v>
      </c>
      <c r="R8" t="s">
        <v>58</v>
      </c>
      <c r="U8" t="s">
        <v>60</v>
      </c>
      <c r="Y8" t="s">
        <v>63</v>
      </c>
      <c r="Z8" t="s">
        <v>62</v>
      </c>
      <c r="AA8" t="s">
        <v>63</v>
      </c>
      <c r="AB8" t="s">
        <v>107</v>
      </c>
      <c r="AD8" t="s">
        <v>80</v>
      </c>
      <c r="AG8" t="s">
        <v>81</v>
      </c>
      <c r="AI8" t="s">
        <v>116</v>
      </c>
      <c r="AJ8" t="s">
        <v>63</v>
      </c>
      <c r="AK8" t="s">
        <v>108</v>
      </c>
      <c r="AL8" t="s">
        <v>69</v>
      </c>
      <c r="AM8" t="s">
        <v>83</v>
      </c>
      <c r="AN8" t="s">
        <v>70</v>
      </c>
      <c r="AT8" t="s">
        <v>72</v>
      </c>
      <c r="AU8" t="s">
        <v>73</v>
      </c>
      <c r="AV8" t="s">
        <v>117</v>
      </c>
      <c r="AW8" t="s">
        <v>118</v>
      </c>
    </row>
    <row r="9" spans="1:49" x14ac:dyDescent="0.25">
      <c r="A9" t="s">
        <v>119</v>
      </c>
      <c r="B9" t="s">
        <v>50</v>
      </c>
      <c r="C9" t="s">
        <v>51</v>
      </c>
      <c r="D9" t="s">
        <v>52</v>
      </c>
      <c r="E9" t="s">
        <v>53</v>
      </c>
      <c r="F9" t="s">
        <v>52</v>
      </c>
      <c r="G9" t="s">
        <v>120</v>
      </c>
      <c r="H9" t="s">
        <v>55</v>
      </c>
      <c r="I9" t="s">
        <v>56</v>
      </c>
      <c r="Q9" t="s">
        <v>57</v>
      </c>
      <c r="R9" t="s">
        <v>58</v>
      </c>
      <c r="Y9" t="s">
        <v>63</v>
      </c>
      <c r="Z9" t="s">
        <v>62</v>
      </c>
      <c r="AA9" t="s">
        <v>89</v>
      </c>
      <c r="AB9" t="s">
        <v>64</v>
      </c>
      <c r="AD9" t="s">
        <v>80</v>
      </c>
      <c r="AG9" t="s">
        <v>81</v>
      </c>
      <c r="AI9" t="s">
        <v>67</v>
      </c>
      <c r="AJ9" t="s">
        <v>63</v>
      </c>
      <c r="AK9" t="s">
        <v>61</v>
      </c>
      <c r="AO9" t="s">
        <v>100</v>
      </c>
      <c r="AP9" t="s">
        <v>84</v>
      </c>
      <c r="AS9" t="s">
        <v>102</v>
      </c>
      <c r="AT9" t="s">
        <v>90</v>
      </c>
      <c r="AU9" t="s">
        <v>73</v>
      </c>
      <c r="AV9" t="s">
        <v>74</v>
      </c>
      <c r="AW9" t="s">
        <v>75</v>
      </c>
    </row>
    <row r="10" spans="1:49" x14ac:dyDescent="0.25">
      <c r="A10" t="s">
        <v>121</v>
      </c>
      <c r="B10" t="s">
        <v>122</v>
      </c>
      <c r="C10" t="s">
        <v>51</v>
      </c>
      <c r="D10" t="s">
        <v>73</v>
      </c>
    </row>
    <row r="11" spans="1:49" x14ac:dyDescent="0.25">
      <c r="A11" t="s">
        <v>123</v>
      </c>
      <c r="B11" t="s">
        <v>50</v>
      </c>
      <c r="C11" t="s">
        <v>124</v>
      </c>
      <c r="D11" t="s">
        <v>52</v>
      </c>
      <c r="E11" t="s">
        <v>125</v>
      </c>
      <c r="F11" t="s">
        <v>52</v>
      </c>
      <c r="G11" t="s">
        <v>126</v>
      </c>
      <c r="H11" t="s">
        <v>55</v>
      </c>
      <c r="I11" t="s">
        <v>56</v>
      </c>
      <c r="K11" t="s">
        <v>94</v>
      </c>
      <c r="L11" t="s">
        <v>95</v>
      </c>
      <c r="Q11" t="s">
        <v>57</v>
      </c>
      <c r="R11" t="s">
        <v>58</v>
      </c>
      <c r="S11" t="s">
        <v>59</v>
      </c>
      <c r="W11" t="s">
        <v>87</v>
      </c>
      <c r="Y11" t="s">
        <v>61</v>
      </c>
      <c r="Z11" t="s">
        <v>62</v>
      </c>
      <c r="AA11" t="s">
        <v>63</v>
      </c>
      <c r="AB11" t="s">
        <v>88</v>
      </c>
      <c r="AC11" t="s">
        <v>65</v>
      </c>
      <c r="AD11" t="s">
        <v>80</v>
      </c>
      <c r="AE11" t="s">
        <v>66</v>
      </c>
      <c r="AG11" t="s">
        <v>81</v>
      </c>
      <c r="AI11" t="s">
        <v>127</v>
      </c>
      <c r="AJ11" t="s">
        <v>79</v>
      </c>
      <c r="AK11" t="s">
        <v>108</v>
      </c>
      <c r="AO11" t="s">
        <v>100</v>
      </c>
      <c r="AP11" t="s">
        <v>84</v>
      </c>
      <c r="AQ11" t="s">
        <v>71</v>
      </c>
      <c r="AT11" t="s">
        <v>72</v>
      </c>
      <c r="AU11" t="s">
        <v>73</v>
      </c>
      <c r="AV11" t="s">
        <v>110</v>
      </c>
      <c r="AW11" t="s">
        <v>75</v>
      </c>
    </row>
    <row r="12" spans="1:49" x14ac:dyDescent="0.25">
      <c r="A12" t="s">
        <v>128</v>
      </c>
      <c r="B12" t="s">
        <v>50</v>
      </c>
      <c r="C12" t="s">
        <v>51</v>
      </c>
      <c r="D12" t="s">
        <v>52</v>
      </c>
      <c r="E12" t="s">
        <v>125</v>
      </c>
      <c r="F12" t="s">
        <v>52</v>
      </c>
      <c r="G12" t="s">
        <v>54</v>
      </c>
      <c r="H12" t="s">
        <v>55</v>
      </c>
      <c r="I12" t="s">
        <v>56</v>
      </c>
      <c r="J12" t="s">
        <v>112</v>
      </c>
      <c r="K12" t="s">
        <v>94</v>
      </c>
      <c r="L12" t="s">
        <v>95</v>
      </c>
      <c r="M12" t="s">
        <v>129</v>
      </c>
      <c r="N12" t="s">
        <v>130</v>
      </c>
      <c r="O12" t="s">
        <v>131</v>
      </c>
      <c r="P12" t="s">
        <v>113</v>
      </c>
      <c r="Q12" t="s">
        <v>57</v>
      </c>
      <c r="R12" t="s">
        <v>58</v>
      </c>
      <c r="S12" t="s">
        <v>59</v>
      </c>
      <c r="T12" t="s">
        <v>96</v>
      </c>
      <c r="U12" t="s">
        <v>60</v>
      </c>
      <c r="V12" t="s">
        <v>78</v>
      </c>
      <c r="W12" t="s">
        <v>87</v>
      </c>
      <c r="X12" t="s">
        <v>132</v>
      </c>
      <c r="Y12" t="s">
        <v>61</v>
      </c>
      <c r="Z12" t="s">
        <v>133</v>
      </c>
      <c r="AA12" t="s">
        <v>79</v>
      </c>
      <c r="AB12" t="s">
        <v>64</v>
      </c>
      <c r="AH12" t="s">
        <v>134</v>
      </c>
      <c r="AI12" t="s">
        <v>127</v>
      </c>
      <c r="AJ12" t="s">
        <v>61</v>
      </c>
      <c r="AK12" t="s">
        <v>68</v>
      </c>
      <c r="AL12" t="s">
        <v>69</v>
      </c>
      <c r="AS12" t="s">
        <v>102</v>
      </c>
      <c r="AT12" t="s">
        <v>90</v>
      </c>
      <c r="AU12" t="s">
        <v>73</v>
      </c>
      <c r="AV12" t="s">
        <v>103</v>
      </c>
      <c r="AW12" t="s">
        <v>75</v>
      </c>
    </row>
    <row r="13" spans="1:49" x14ac:dyDescent="0.25">
      <c r="A13" t="s">
        <v>135</v>
      </c>
      <c r="B13" t="s">
        <v>136</v>
      </c>
      <c r="C13" t="s">
        <v>137</v>
      </c>
      <c r="D13" t="s">
        <v>73</v>
      </c>
    </row>
    <row r="14" spans="1:49" x14ac:dyDescent="0.25">
      <c r="A14" t="s">
        <v>138</v>
      </c>
      <c r="B14" t="s">
        <v>50</v>
      </c>
      <c r="C14" t="s">
        <v>51</v>
      </c>
      <c r="D14" t="s">
        <v>52</v>
      </c>
      <c r="E14" t="s">
        <v>125</v>
      </c>
      <c r="F14" t="s">
        <v>52</v>
      </c>
      <c r="G14" t="s">
        <v>120</v>
      </c>
      <c r="I14" t="s">
        <v>56</v>
      </c>
      <c r="L14" t="s">
        <v>95</v>
      </c>
      <c r="Q14" t="s">
        <v>57</v>
      </c>
      <c r="R14" t="s">
        <v>58</v>
      </c>
      <c r="U14" t="s">
        <v>60</v>
      </c>
      <c r="Y14" t="s">
        <v>79</v>
      </c>
      <c r="Z14" t="s">
        <v>62</v>
      </c>
      <c r="AA14" t="s">
        <v>63</v>
      </c>
      <c r="AB14" t="s">
        <v>107</v>
      </c>
      <c r="AC14" t="s">
        <v>65</v>
      </c>
      <c r="AD14" t="s">
        <v>80</v>
      </c>
      <c r="AE14" t="s">
        <v>66</v>
      </c>
      <c r="AG14" t="s">
        <v>81</v>
      </c>
      <c r="AI14" t="s">
        <v>127</v>
      </c>
      <c r="AJ14" t="s">
        <v>89</v>
      </c>
      <c r="AK14" t="s">
        <v>63</v>
      </c>
      <c r="AL14" t="s">
        <v>69</v>
      </c>
      <c r="AN14" t="s">
        <v>70</v>
      </c>
      <c r="AP14" t="s">
        <v>84</v>
      </c>
      <c r="AQ14" t="s">
        <v>71</v>
      </c>
      <c r="AT14" t="s">
        <v>117</v>
      </c>
      <c r="AU14" t="s">
        <v>91</v>
      </c>
      <c r="AV14" t="s">
        <v>110</v>
      </c>
      <c r="AW14" t="s">
        <v>75</v>
      </c>
    </row>
    <row r="15" spans="1:49" x14ac:dyDescent="0.25">
      <c r="A15" t="s">
        <v>139</v>
      </c>
      <c r="B15" t="s">
        <v>50</v>
      </c>
      <c r="C15" t="s">
        <v>51</v>
      </c>
      <c r="D15" t="s">
        <v>52</v>
      </c>
      <c r="E15" t="s">
        <v>106</v>
      </c>
      <c r="F15" t="s">
        <v>52</v>
      </c>
      <c r="G15" t="s">
        <v>54</v>
      </c>
      <c r="P15" t="s">
        <v>113</v>
      </c>
      <c r="Q15" t="s">
        <v>57</v>
      </c>
      <c r="R15" t="s">
        <v>58</v>
      </c>
      <c r="Y15" t="s">
        <v>61</v>
      </c>
      <c r="Z15" t="s">
        <v>140</v>
      </c>
      <c r="AA15" t="s">
        <v>63</v>
      </c>
      <c r="AB15" t="s">
        <v>107</v>
      </c>
      <c r="AE15" t="s">
        <v>66</v>
      </c>
      <c r="AG15" t="s">
        <v>81</v>
      </c>
      <c r="AI15" t="s">
        <v>116</v>
      </c>
      <c r="AJ15" t="s">
        <v>63</v>
      </c>
      <c r="AK15" t="s">
        <v>99</v>
      </c>
      <c r="AL15" t="s">
        <v>69</v>
      </c>
      <c r="AN15" t="s">
        <v>70</v>
      </c>
      <c r="AP15" t="s">
        <v>84</v>
      </c>
      <c r="AQ15" t="s">
        <v>71</v>
      </c>
      <c r="AT15" t="s">
        <v>109</v>
      </c>
      <c r="AU15" t="s">
        <v>91</v>
      </c>
      <c r="AV15" t="s">
        <v>103</v>
      </c>
      <c r="AW15" t="s">
        <v>75</v>
      </c>
    </row>
    <row r="16" spans="1:49" x14ac:dyDescent="0.25">
      <c r="A16" t="s">
        <v>141</v>
      </c>
      <c r="B16" t="s">
        <v>93</v>
      </c>
      <c r="C16" t="s">
        <v>142</v>
      </c>
      <c r="D16" t="s">
        <v>52</v>
      </c>
      <c r="E16" t="s">
        <v>125</v>
      </c>
      <c r="F16" t="s">
        <v>52</v>
      </c>
      <c r="G16" t="s">
        <v>120</v>
      </c>
      <c r="H16" t="s">
        <v>55</v>
      </c>
      <c r="I16" t="s">
        <v>56</v>
      </c>
      <c r="O16" t="s">
        <v>131</v>
      </c>
      <c r="Q16" t="s">
        <v>57</v>
      </c>
      <c r="R16" t="s">
        <v>58</v>
      </c>
      <c r="S16" t="s">
        <v>59</v>
      </c>
      <c r="T16" t="s">
        <v>96</v>
      </c>
      <c r="W16" t="s">
        <v>87</v>
      </c>
      <c r="Y16" t="s">
        <v>89</v>
      </c>
      <c r="Z16" t="s">
        <v>62</v>
      </c>
      <c r="AA16" t="s">
        <v>63</v>
      </c>
      <c r="AB16" t="s">
        <v>88</v>
      </c>
      <c r="AC16" t="s">
        <v>65</v>
      </c>
      <c r="AD16" t="s">
        <v>80</v>
      </c>
      <c r="AE16" t="s">
        <v>66</v>
      </c>
      <c r="AF16" t="s">
        <v>98</v>
      </c>
      <c r="AG16" t="s">
        <v>81</v>
      </c>
      <c r="AI16" t="s">
        <v>114</v>
      </c>
      <c r="AJ16" t="s">
        <v>63</v>
      </c>
      <c r="AK16" t="s">
        <v>61</v>
      </c>
      <c r="AL16" t="s">
        <v>69</v>
      </c>
      <c r="AM16" t="s">
        <v>83</v>
      </c>
      <c r="AN16" t="s">
        <v>70</v>
      </c>
      <c r="AO16" t="s">
        <v>100</v>
      </c>
      <c r="AP16" t="s">
        <v>84</v>
      </c>
      <c r="AQ16" t="s">
        <v>71</v>
      </c>
      <c r="AS16" t="s">
        <v>102</v>
      </c>
      <c r="AT16" t="s">
        <v>72</v>
      </c>
      <c r="AU16" t="s">
        <v>73</v>
      </c>
      <c r="AV16" t="s">
        <v>110</v>
      </c>
      <c r="AW16" t="s">
        <v>85</v>
      </c>
    </row>
    <row r="17" spans="1:49" x14ac:dyDescent="0.25">
      <c r="A17" t="s">
        <v>143</v>
      </c>
      <c r="B17" t="s">
        <v>50</v>
      </c>
      <c r="C17" t="s">
        <v>51</v>
      </c>
      <c r="D17" t="s">
        <v>52</v>
      </c>
      <c r="E17" t="s">
        <v>125</v>
      </c>
      <c r="F17" t="s">
        <v>52</v>
      </c>
      <c r="G17" t="s">
        <v>120</v>
      </c>
      <c r="H17" t="s">
        <v>55</v>
      </c>
      <c r="I17" t="s">
        <v>56</v>
      </c>
      <c r="Q17" t="s">
        <v>57</v>
      </c>
      <c r="R17" t="s">
        <v>58</v>
      </c>
      <c r="U17" t="s">
        <v>60</v>
      </c>
      <c r="V17" t="s">
        <v>78</v>
      </c>
      <c r="Y17" t="s">
        <v>79</v>
      </c>
      <c r="Z17" t="s">
        <v>62</v>
      </c>
      <c r="AA17" t="s">
        <v>63</v>
      </c>
      <c r="AB17" t="s">
        <v>64</v>
      </c>
      <c r="AD17" t="s">
        <v>80</v>
      </c>
      <c r="AG17" t="s">
        <v>81</v>
      </c>
      <c r="AI17" t="s">
        <v>116</v>
      </c>
      <c r="AJ17" t="s">
        <v>79</v>
      </c>
      <c r="AK17" t="s">
        <v>99</v>
      </c>
      <c r="AO17" t="s">
        <v>100</v>
      </c>
      <c r="AQ17" t="s">
        <v>71</v>
      </c>
      <c r="AS17" t="s">
        <v>102</v>
      </c>
      <c r="AT17" t="s">
        <v>72</v>
      </c>
      <c r="AU17" t="s">
        <v>91</v>
      </c>
      <c r="AV17" t="s">
        <v>117</v>
      </c>
      <c r="AW17" t="s">
        <v>75</v>
      </c>
    </row>
    <row r="18" spans="1:49" x14ac:dyDescent="0.25">
      <c r="A18" t="s">
        <v>144</v>
      </c>
      <c r="B18" t="s">
        <v>50</v>
      </c>
      <c r="C18" t="s">
        <v>51</v>
      </c>
      <c r="D18" t="s">
        <v>52</v>
      </c>
      <c r="E18" t="s">
        <v>125</v>
      </c>
      <c r="F18" t="s">
        <v>52</v>
      </c>
      <c r="G18" t="s">
        <v>120</v>
      </c>
      <c r="H18" t="s">
        <v>55</v>
      </c>
      <c r="I18" t="s">
        <v>56</v>
      </c>
      <c r="K18" t="s">
        <v>94</v>
      </c>
      <c r="M18" t="s">
        <v>129</v>
      </c>
      <c r="Q18" t="s">
        <v>57</v>
      </c>
      <c r="R18" t="s">
        <v>58</v>
      </c>
      <c r="S18" t="s">
        <v>59</v>
      </c>
      <c r="U18" t="s">
        <v>60</v>
      </c>
      <c r="V18" t="s">
        <v>78</v>
      </c>
      <c r="W18" t="s">
        <v>87</v>
      </c>
      <c r="Y18" t="s">
        <v>61</v>
      </c>
      <c r="Z18" t="s">
        <v>133</v>
      </c>
      <c r="AA18" t="s">
        <v>79</v>
      </c>
      <c r="AB18" t="s">
        <v>88</v>
      </c>
      <c r="AC18" t="s">
        <v>65</v>
      </c>
      <c r="AE18" t="s">
        <v>66</v>
      </c>
      <c r="AG18" t="s">
        <v>81</v>
      </c>
      <c r="AI18" t="s">
        <v>67</v>
      </c>
      <c r="AJ18" t="s">
        <v>79</v>
      </c>
      <c r="AK18" t="s">
        <v>145</v>
      </c>
      <c r="AN18" t="s">
        <v>70</v>
      </c>
      <c r="AQ18" t="s">
        <v>71</v>
      </c>
      <c r="AS18" t="s">
        <v>102</v>
      </c>
      <c r="AT18" t="s">
        <v>72</v>
      </c>
      <c r="AU18" t="s">
        <v>73</v>
      </c>
      <c r="AV18" t="s">
        <v>103</v>
      </c>
      <c r="AW18" t="s">
        <v>75</v>
      </c>
    </row>
    <row r="19" spans="1:49" x14ac:dyDescent="0.25">
      <c r="A19" t="s">
        <v>146</v>
      </c>
      <c r="B19" t="s">
        <v>93</v>
      </c>
      <c r="C19" t="s">
        <v>51</v>
      </c>
      <c r="D19" t="s">
        <v>52</v>
      </c>
      <c r="E19" t="s">
        <v>106</v>
      </c>
      <c r="F19" t="s">
        <v>52</v>
      </c>
      <c r="G19" t="s">
        <v>54</v>
      </c>
      <c r="H19" t="s">
        <v>55</v>
      </c>
      <c r="I19" t="s">
        <v>56</v>
      </c>
      <c r="L19" t="s">
        <v>95</v>
      </c>
      <c r="M19" t="s">
        <v>129</v>
      </c>
      <c r="O19" t="s">
        <v>131</v>
      </c>
      <c r="Q19" t="s">
        <v>57</v>
      </c>
      <c r="R19" t="s">
        <v>58</v>
      </c>
      <c r="S19" t="s">
        <v>59</v>
      </c>
      <c r="U19" t="s">
        <v>60</v>
      </c>
      <c r="W19" t="s">
        <v>87</v>
      </c>
      <c r="Y19" t="s">
        <v>61</v>
      </c>
      <c r="Z19" t="s">
        <v>133</v>
      </c>
      <c r="AA19" t="s">
        <v>79</v>
      </c>
      <c r="AB19" t="s">
        <v>64</v>
      </c>
      <c r="AD19" t="s">
        <v>80</v>
      </c>
      <c r="AG19" t="s">
        <v>81</v>
      </c>
      <c r="AI19" t="s">
        <v>116</v>
      </c>
      <c r="AJ19" t="s">
        <v>61</v>
      </c>
      <c r="AK19" t="s">
        <v>82</v>
      </c>
      <c r="AM19" t="s">
        <v>83</v>
      </c>
      <c r="AP19" t="s">
        <v>84</v>
      </c>
      <c r="AS19" t="s">
        <v>102</v>
      </c>
      <c r="AT19" t="s">
        <v>72</v>
      </c>
      <c r="AU19" t="s">
        <v>52</v>
      </c>
      <c r="AV19" t="s">
        <v>74</v>
      </c>
      <c r="AW19" t="s">
        <v>118</v>
      </c>
    </row>
    <row r="20" spans="1:49" x14ac:dyDescent="0.25">
      <c r="A20" t="s">
        <v>147</v>
      </c>
      <c r="B20" t="s">
        <v>50</v>
      </c>
      <c r="C20" t="s">
        <v>51</v>
      </c>
      <c r="D20" t="s">
        <v>52</v>
      </c>
      <c r="E20" t="s">
        <v>53</v>
      </c>
      <c r="F20" t="s">
        <v>52</v>
      </c>
      <c r="G20" t="s">
        <v>54</v>
      </c>
      <c r="H20" t="s">
        <v>55</v>
      </c>
      <c r="I20" t="s">
        <v>56</v>
      </c>
      <c r="Q20" t="s">
        <v>57</v>
      </c>
      <c r="R20" t="s">
        <v>58</v>
      </c>
      <c r="V20" t="s">
        <v>78</v>
      </c>
      <c r="Y20" t="s">
        <v>61</v>
      </c>
      <c r="Z20" t="s">
        <v>133</v>
      </c>
      <c r="AA20" t="s">
        <v>63</v>
      </c>
      <c r="AB20" t="s">
        <v>88</v>
      </c>
      <c r="AC20" t="s">
        <v>65</v>
      </c>
      <c r="AD20" t="s">
        <v>80</v>
      </c>
      <c r="AG20" t="s">
        <v>81</v>
      </c>
      <c r="AI20" t="s">
        <v>67</v>
      </c>
      <c r="AJ20" t="s">
        <v>79</v>
      </c>
      <c r="AK20" t="s">
        <v>108</v>
      </c>
      <c r="AM20" t="s">
        <v>83</v>
      </c>
      <c r="AO20" t="s">
        <v>100</v>
      </c>
      <c r="AP20" t="s">
        <v>84</v>
      </c>
      <c r="AS20" t="s">
        <v>102</v>
      </c>
      <c r="AT20" t="s">
        <v>72</v>
      </c>
      <c r="AU20" t="s">
        <v>91</v>
      </c>
      <c r="AV20" t="s">
        <v>74</v>
      </c>
      <c r="AW20" t="s">
        <v>85</v>
      </c>
    </row>
    <row r="21" spans="1:49" x14ac:dyDescent="0.25">
      <c r="A21" t="s">
        <v>148</v>
      </c>
      <c r="B21" t="s">
        <v>93</v>
      </c>
      <c r="C21" t="s">
        <v>51</v>
      </c>
      <c r="D21" t="s">
        <v>52</v>
      </c>
      <c r="E21" t="s">
        <v>106</v>
      </c>
      <c r="F21" t="s">
        <v>52</v>
      </c>
      <c r="G21" t="s">
        <v>120</v>
      </c>
      <c r="H21" t="s">
        <v>55</v>
      </c>
      <c r="Q21" t="s">
        <v>57</v>
      </c>
      <c r="Y21" t="s">
        <v>79</v>
      </c>
      <c r="Z21" t="s">
        <v>62</v>
      </c>
      <c r="AA21" t="s">
        <v>63</v>
      </c>
      <c r="AB21" t="s">
        <v>64</v>
      </c>
      <c r="AD21" t="s">
        <v>80</v>
      </c>
      <c r="AE21" t="s">
        <v>66</v>
      </c>
      <c r="AG21" t="s">
        <v>81</v>
      </c>
      <c r="AI21" t="s">
        <v>67</v>
      </c>
      <c r="AJ21" t="s">
        <v>79</v>
      </c>
      <c r="AK21" t="s">
        <v>61</v>
      </c>
      <c r="AO21" t="s">
        <v>100</v>
      </c>
      <c r="AP21" t="s">
        <v>84</v>
      </c>
      <c r="AS21" t="s">
        <v>102</v>
      </c>
      <c r="AT21" t="s">
        <v>109</v>
      </c>
      <c r="AU21" t="s">
        <v>52</v>
      </c>
      <c r="AV21" t="s">
        <v>74</v>
      </c>
      <c r="AW21" t="s">
        <v>75</v>
      </c>
    </row>
    <row r="22" spans="1:49" x14ac:dyDescent="0.25">
      <c r="A22" t="s">
        <v>149</v>
      </c>
      <c r="B22" t="s">
        <v>50</v>
      </c>
      <c r="C22" t="s">
        <v>51</v>
      </c>
      <c r="D22" t="s">
        <v>52</v>
      </c>
      <c r="E22" t="s">
        <v>125</v>
      </c>
      <c r="F22" t="s">
        <v>52</v>
      </c>
      <c r="G22" t="s">
        <v>120</v>
      </c>
      <c r="H22" t="s">
        <v>55</v>
      </c>
      <c r="I22" t="s">
        <v>56</v>
      </c>
      <c r="Q22" t="s">
        <v>57</v>
      </c>
      <c r="R22" t="s">
        <v>58</v>
      </c>
      <c r="Y22" t="s">
        <v>79</v>
      </c>
      <c r="Z22" t="s">
        <v>62</v>
      </c>
      <c r="AA22" t="s">
        <v>63</v>
      </c>
      <c r="AB22" t="s">
        <v>88</v>
      </c>
      <c r="AE22" t="s">
        <v>66</v>
      </c>
      <c r="AG22" t="s">
        <v>81</v>
      </c>
      <c r="AI22" t="s">
        <v>67</v>
      </c>
      <c r="AJ22" t="s">
        <v>79</v>
      </c>
      <c r="AK22" t="s">
        <v>108</v>
      </c>
      <c r="AL22" t="s">
        <v>69</v>
      </c>
      <c r="AM22" t="s">
        <v>83</v>
      </c>
      <c r="AN22" t="s">
        <v>70</v>
      </c>
      <c r="AQ22" t="s">
        <v>71</v>
      </c>
      <c r="AS22" t="s">
        <v>102</v>
      </c>
      <c r="AT22" t="s">
        <v>72</v>
      </c>
      <c r="AU22" t="s">
        <v>91</v>
      </c>
      <c r="AV22" t="s">
        <v>74</v>
      </c>
      <c r="AW22" t="s">
        <v>118</v>
      </c>
    </row>
    <row r="23" spans="1:49" x14ac:dyDescent="0.25">
      <c r="A23" t="s">
        <v>150</v>
      </c>
      <c r="B23" t="s">
        <v>93</v>
      </c>
      <c r="C23" t="s">
        <v>51</v>
      </c>
      <c r="D23" t="s">
        <v>52</v>
      </c>
      <c r="E23" t="s">
        <v>125</v>
      </c>
      <c r="F23" t="s">
        <v>52</v>
      </c>
      <c r="G23" t="s">
        <v>54</v>
      </c>
      <c r="H23" t="s">
        <v>55</v>
      </c>
      <c r="I23" t="s">
        <v>56</v>
      </c>
      <c r="K23" t="s">
        <v>94</v>
      </c>
      <c r="O23" t="s">
        <v>131</v>
      </c>
      <c r="Q23" t="s">
        <v>57</v>
      </c>
      <c r="R23" t="s">
        <v>58</v>
      </c>
      <c r="Y23" t="s">
        <v>61</v>
      </c>
      <c r="Z23" t="s">
        <v>62</v>
      </c>
      <c r="AA23" t="s">
        <v>63</v>
      </c>
      <c r="AB23" t="s">
        <v>88</v>
      </c>
      <c r="AC23" t="s">
        <v>65</v>
      </c>
      <c r="AI23" t="s">
        <v>116</v>
      </c>
      <c r="AJ23" t="s">
        <v>79</v>
      </c>
      <c r="AK23" t="s">
        <v>145</v>
      </c>
      <c r="AL23" t="s">
        <v>69</v>
      </c>
      <c r="AM23" t="s">
        <v>83</v>
      </c>
      <c r="AN23" t="s">
        <v>70</v>
      </c>
      <c r="AP23" t="s">
        <v>84</v>
      </c>
      <c r="AQ23" t="s">
        <v>71</v>
      </c>
      <c r="AS23" t="s">
        <v>102</v>
      </c>
      <c r="AT23" t="s">
        <v>109</v>
      </c>
      <c r="AU23" t="s">
        <v>91</v>
      </c>
      <c r="AV23" t="s">
        <v>74</v>
      </c>
      <c r="AW23" t="s">
        <v>85</v>
      </c>
    </row>
    <row r="24" spans="1:49" x14ac:dyDescent="0.25">
      <c r="A24" t="s">
        <v>151</v>
      </c>
      <c r="B24" t="s">
        <v>50</v>
      </c>
      <c r="C24" t="s">
        <v>51</v>
      </c>
      <c r="D24" t="s">
        <v>52</v>
      </c>
      <c r="E24" t="s">
        <v>53</v>
      </c>
      <c r="F24" t="s">
        <v>52</v>
      </c>
      <c r="G24" t="s">
        <v>54</v>
      </c>
      <c r="H24" t="s">
        <v>55</v>
      </c>
      <c r="I24" t="s">
        <v>56</v>
      </c>
      <c r="Q24" t="s">
        <v>57</v>
      </c>
      <c r="S24" t="s">
        <v>59</v>
      </c>
      <c r="U24" t="s">
        <v>60</v>
      </c>
      <c r="Y24" t="s">
        <v>61</v>
      </c>
      <c r="Z24" t="s">
        <v>62</v>
      </c>
      <c r="AA24" t="s">
        <v>79</v>
      </c>
      <c r="AB24" t="s">
        <v>88</v>
      </c>
      <c r="AD24" t="s">
        <v>80</v>
      </c>
      <c r="AI24" t="s">
        <v>127</v>
      </c>
      <c r="AJ24" t="s">
        <v>61</v>
      </c>
      <c r="AK24" t="s">
        <v>82</v>
      </c>
      <c r="AL24" t="s">
        <v>69</v>
      </c>
      <c r="AM24" t="s">
        <v>83</v>
      </c>
      <c r="AQ24" t="s">
        <v>71</v>
      </c>
      <c r="AT24" t="s">
        <v>90</v>
      </c>
      <c r="AU24" t="s">
        <v>73</v>
      </c>
      <c r="AV24" t="s">
        <v>74</v>
      </c>
      <c r="AW24" t="s">
        <v>104</v>
      </c>
    </row>
    <row r="25" spans="1:49" x14ac:dyDescent="0.25">
      <c r="A25" t="s">
        <v>152</v>
      </c>
      <c r="B25" t="s">
        <v>50</v>
      </c>
      <c r="C25" t="s">
        <v>137</v>
      </c>
      <c r="D25" t="s">
        <v>52</v>
      </c>
      <c r="E25" t="s">
        <v>153</v>
      </c>
      <c r="F25" t="s">
        <v>52</v>
      </c>
      <c r="G25" t="s">
        <v>54</v>
      </c>
      <c r="H25" t="s">
        <v>55</v>
      </c>
      <c r="I25" t="s">
        <v>56</v>
      </c>
      <c r="J25" t="s">
        <v>112</v>
      </c>
      <c r="K25" t="s">
        <v>94</v>
      </c>
      <c r="L25" t="s">
        <v>95</v>
      </c>
      <c r="M25" t="s">
        <v>129</v>
      </c>
      <c r="N25" t="s">
        <v>130</v>
      </c>
      <c r="O25" t="s">
        <v>131</v>
      </c>
      <c r="P25" t="s">
        <v>113</v>
      </c>
      <c r="Q25" t="s">
        <v>57</v>
      </c>
      <c r="R25" t="s">
        <v>58</v>
      </c>
      <c r="S25" t="s">
        <v>59</v>
      </c>
      <c r="T25" t="s">
        <v>96</v>
      </c>
      <c r="U25" t="s">
        <v>60</v>
      </c>
      <c r="V25" t="s">
        <v>78</v>
      </c>
      <c r="W25" t="s">
        <v>87</v>
      </c>
      <c r="Y25" t="s">
        <v>79</v>
      </c>
      <c r="Z25" t="s">
        <v>133</v>
      </c>
      <c r="AA25" t="s">
        <v>89</v>
      </c>
      <c r="AB25" t="s">
        <v>64</v>
      </c>
      <c r="AD25" t="s">
        <v>80</v>
      </c>
      <c r="AE25" t="s">
        <v>66</v>
      </c>
      <c r="AG25" t="s">
        <v>81</v>
      </c>
      <c r="AI25" t="s">
        <v>67</v>
      </c>
      <c r="AJ25" t="s">
        <v>61</v>
      </c>
      <c r="AK25" t="s">
        <v>68</v>
      </c>
      <c r="AL25" t="s">
        <v>69</v>
      </c>
      <c r="AM25" t="s">
        <v>83</v>
      </c>
      <c r="AN25" t="s">
        <v>70</v>
      </c>
      <c r="AP25" t="s">
        <v>84</v>
      </c>
      <c r="AQ25" t="s">
        <v>71</v>
      </c>
      <c r="AT25" t="s">
        <v>72</v>
      </c>
      <c r="AU25" t="s">
        <v>73</v>
      </c>
      <c r="AV25" t="s">
        <v>74</v>
      </c>
      <c r="AW25" t="s">
        <v>104</v>
      </c>
    </row>
    <row r="26" spans="1:49" x14ac:dyDescent="0.25">
      <c r="A26" t="s">
        <v>154</v>
      </c>
      <c r="B26" t="s">
        <v>50</v>
      </c>
      <c r="C26" t="s">
        <v>124</v>
      </c>
      <c r="D26" t="s">
        <v>52</v>
      </c>
      <c r="E26" t="s">
        <v>53</v>
      </c>
      <c r="F26" t="s">
        <v>73</v>
      </c>
      <c r="AD26" t="s">
        <v>80</v>
      </c>
      <c r="AG26" t="s">
        <v>81</v>
      </c>
      <c r="AI26" t="s">
        <v>116</v>
      </c>
      <c r="AJ26" t="s">
        <v>155</v>
      </c>
      <c r="AK26" t="s">
        <v>63</v>
      </c>
      <c r="AL26" t="s">
        <v>69</v>
      </c>
      <c r="AM26" t="s">
        <v>83</v>
      </c>
      <c r="AP26" t="s">
        <v>84</v>
      </c>
      <c r="AQ26" t="s">
        <v>71</v>
      </c>
      <c r="AT26" t="s">
        <v>72</v>
      </c>
      <c r="AU26" t="s">
        <v>73</v>
      </c>
      <c r="AV26" t="s">
        <v>74</v>
      </c>
      <c r="AW26" t="s">
        <v>75</v>
      </c>
    </row>
    <row r="27" spans="1:49" x14ac:dyDescent="0.25">
      <c r="A27" t="s">
        <v>156</v>
      </c>
      <c r="B27" t="s">
        <v>50</v>
      </c>
      <c r="C27" t="s">
        <v>51</v>
      </c>
      <c r="D27" t="s">
        <v>52</v>
      </c>
      <c r="E27" t="s">
        <v>53</v>
      </c>
      <c r="F27" t="s">
        <v>52</v>
      </c>
      <c r="G27" t="s">
        <v>54</v>
      </c>
      <c r="H27" t="s">
        <v>55</v>
      </c>
      <c r="I27" t="s">
        <v>56</v>
      </c>
      <c r="Q27" t="s">
        <v>57</v>
      </c>
      <c r="R27" t="s">
        <v>58</v>
      </c>
      <c r="U27" t="s">
        <v>60</v>
      </c>
      <c r="V27" t="s">
        <v>78</v>
      </c>
      <c r="Y27" t="s">
        <v>61</v>
      </c>
      <c r="Z27" t="s">
        <v>133</v>
      </c>
      <c r="AA27" t="s">
        <v>79</v>
      </c>
      <c r="AB27" t="s">
        <v>64</v>
      </c>
      <c r="AE27" t="s">
        <v>66</v>
      </c>
      <c r="AG27" t="s">
        <v>81</v>
      </c>
      <c r="AI27" t="s">
        <v>67</v>
      </c>
      <c r="AJ27" t="s">
        <v>79</v>
      </c>
      <c r="AK27" t="s">
        <v>61</v>
      </c>
      <c r="AL27" t="s">
        <v>69</v>
      </c>
      <c r="AM27" t="s">
        <v>83</v>
      </c>
      <c r="AN27" t="s">
        <v>70</v>
      </c>
      <c r="AP27" t="s">
        <v>84</v>
      </c>
      <c r="AT27" t="s">
        <v>72</v>
      </c>
      <c r="AU27" t="s">
        <v>91</v>
      </c>
      <c r="AV27" t="s">
        <v>103</v>
      </c>
      <c r="AW27" t="s">
        <v>85</v>
      </c>
    </row>
    <row r="28" spans="1:49" x14ac:dyDescent="0.25">
      <c r="A28" t="s">
        <v>157</v>
      </c>
      <c r="B28" t="s">
        <v>136</v>
      </c>
      <c r="C28" t="s">
        <v>142</v>
      </c>
      <c r="D28" t="s">
        <v>52</v>
      </c>
      <c r="E28" t="s">
        <v>106</v>
      </c>
      <c r="F28" t="s">
        <v>52</v>
      </c>
      <c r="G28" t="s">
        <v>54</v>
      </c>
      <c r="H28" t="s">
        <v>55</v>
      </c>
      <c r="I28" t="s">
        <v>56</v>
      </c>
      <c r="J28" t="s">
        <v>112</v>
      </c>
      <c r="K28" t="s">
        <v>94</v>
      </c>
      <c r="L28" t="s">
        <v>95</v>
      </c>
      <c r="M28" t="s">
        <v>129</v>
      </c>
      <c r="N28" t="s">
        <v>130</v>
      </c>
      <c r="O28" t="s">
        <v>131</v>
      </c>
      <c r="P28" t="s">
        <v>113</v>
      </c>
      <c r="Q28" t="s">
        <v>57</v>
      </c>
      <c r="R28" t="s">
        <v>58</v>
      </c>
      <c r="S28" t="s">
        <v>59</v>
      </c>
      <c r="T28" t="s">
        <v>96</v>
      </c>
      <c r="U28" t="s">
        <v>60</v>
      </c>
      <c r="V28" t="s">
        <v>78</v>
      </c>
      <c r="W28" t="s">
        <v>87</v>
      </c>
      <c r="X28" t="s">
        <v>132</v>
      </c>
      <c r="Y28" t="s">
        <v>61</v>
      </c>
      <c r="Z28" t="s">
        <v>140</v>
      </c>
      <c r="AA28" t="s">
        <v>61</v>
      </c>
      <c r="AB28" t="s">
        <v>158</v>
      </c>
      <c r="AC28" t="s">
        <v>65</v>
      </c>
      <c r="AD28" t="s">
        <v>80</v>
      </c>
      <c r="AE28" t="s">
        <v>66</v>
      </c>
      <c r="AF28" t="s">
        <v>98</v>
      </c>
      <c r="AG28" t="s">
        <v>81</v>
      </c>
      <c r="AH28" t="s">
        <v>134</v>
      </c>
      <c r="AI28" t="s">
        <v>67</v>
      </c>
      <c r="AJ28" t="s">
        <v>61</v>
      </c>
      <c r="AK28" t="s">
        <v>82</v>
      </c>
      <c r="AL28" t="s">
        <v>69</v>
      </c>
      <c r="AM28" t="s">
        <v>83</v>
      </c>
      <c r="AN28" t="s">
        <v>70</v>
      </c>
      <c r="AP28" t="s">
        <v>84</v>
      </c>
      <c r="AQ28" t="s">
        <v>71</v>
      </c>
      <c r="AR28" t="s">
        <v>101</v>
      </c>
      <c r="AS28" t="s">
        <v>102</v>
      </c>
      <c r="AT28" t="s">
        <v>72</v>
      </c>
      <c r="AU28" t="s">
        <v>73</v>
      </c>
      <c r="AV28" t="s">
        <v>159</v>
      </c>
      <c r="AW28" t="s">
        <v>104</v>
      </c>
    </row>
    <row r="29" spans="1:49" x14ac:dyDescent="0.25">
      <c r="A29" t="s">
        <v>160</v>
      </c>
      <c r="B29" t="s">
        <v>50</v>
      </c>
      <c r="C29" t="s">
        <v>51</v>
      </c>
      <c r="D29" t="s">
        <v>52</v>
      </c>
      <c r="E29" t="s">
        <v>106</v>
      </c>
      <c r="F29" t="s">
        <v>52</v>
      </c>
      <c r="G29" t="s">
        <v>120</v>
      </c>
      <c r="I29" t="s">
        <v>56</v>
      </c>
      <c r="Q29" t="s">
        <v>57</v>
      </c>
      <c r="R29" t="s">
        <v>58</v>
      </c>
      <c r="U29" t="s">
        <v>60</v>
      </c>
      <c r="Y29" t="s">
        <v>79</v>
      </c>
      <c r="Z29" t="s">
        <v>62</v>
      </c>
      <c r="AA29" t="s">
        <v>63</v>
      </c>
      <c r="AB29" t="s">
        <v>64</v>
      </c>
      <c r="AD29" t="s">
        <v>80</v>
      </c>
      <c r="AE29" t="s">
        <v>66</v>
      </c>
      <c r="AG29" t="s">
        <v>81</v>
      </c>
      <c r="AI29" t="s">
        <v>67</v>
      </c>
      <c r="AJ29" t="s">
        <v>79</v>
      </c>
      <c r="AK29" t="s">
        <v>99</v>
      </c>
      <c r="AL29" t="s">
        <v>69</v>
      </c>
      <c r="AM29" t="s">
        <v>83</v>
      </c>
      <c r="AN29" t="s">
        <v>70</v>
      </c>
      <c r="AO29" t="s">
        <v>100</v>
      </c>
      <c r="AP29" t="s">
        <v>84</v>
      </c>
      <c r="AQ29" t="s">
        <v>71</v>
      </c>
      <c r="AT29" t="s">
        <v>109</v>
      </c>
      <c r="AU29" t="s">
        <v>73</v>
      </c>
      <c r="AV29" t="s">
        <v>74</v>
      </c>
      <c r="AW29" t="s">
        <v>85</v>
      </c>
    </row>
    <row r="30" spans="1:49" x14ac:dyDescent="0.25">
      <c r="A30" t="s">
        <v>161</v>
      </c>
      <c r="B30" t="s">
        <v>50</v>
      </c>
      <c r="C30" t="s">
        <v>51</v>
      </c>
      <c r="D30" t="s">
        <v>52</v>
      </c>
      <c r="E30" t="s">
        <v>125</v>
      </c>
      <c r="F30" t="s">
        <v>52</v>
      </c>
      <c r="G30" t="s">
        <v>120</v>
      </c>
      <c r="H30" t="s">
        <v>55</v>
      </c>
      <c r="K30" t="s">
        <v>94</v>
      </c>
      <c r="L30" t="s">
        <v>95</v>
      </c>
      <c r="Q30" t="s">
        <v>57</v>
      </c>
      <c r="R30" t="s">
        <v>58</v>
      </c>
      <c r="S30" t="s">
        <v>59</v>
      </c>
      <c r="Y30" t="s">
        <v>63</v>
      </c>
      <c r="Z30" t="s">
        <v>62</v>
      </c>
      <c r="AA30" t="s">
        <v>63</v>
      </c>
      <c r="AB30" t="s">
        <v>158</v>
      </c>
      <c r="AD30" t="s">
        <v>80</v>
      </c>
      <c r="AE30" t="s">
        <v>66</v>
      </c>
      <c r="AG30" t="s">
        <v>81</v>
      </c>
      <c r="AI30" t="s">
        <v>127</v>
      </c>
      <c r="AJ30" t="s">
        <v>61</v>
      </c>
      <c r="AK30" t="s">
        <v>61</v>
      </c>
      <c r="AO30" t="s">
        <v>100</v>
      </c>
      <c r="AT30" t="s">
        <v>72</v>
      </c>
      <c r="AU30" t="s">
        <v>73</v>
      </c>
      <c r="AV30" t="s">
        <v>110</v>
      </c>
      <c r="AW30" t="s">
        <v>75</v>
      </c>
    </row>
    <row r="31" spans="1:49" x14ac:dyDescent="0.25">
      <c r="A31" t="s">
        <v>162</v>
      </c>
      <c r="B31" t="s">
        <v>50</v>
      </c>
      <c r="C31" t="s">
        <v>51</v>
      </c>
      <c r="D31" t="s">
        <v>52</v>
      </c>
      <c r="E31" t="s">
        <v>106</v>
      </c>
      <c r="F31" t="s">
        <v>52</v>
      </c>
      <c r="G31" t="s">
        <v>54</v>
      </c>
      <c r="H31" t="s">
        <v>55</v>
      </c>
      <c r="I31" t="s">
        <v>56</v>
      </c>
      <c r="Q31" t="s">
        <v>57</v>
      </c>
      <c r="R31" t="s">
        <v>58</v>
      </c>
      <c r="U31" t="s">
        <v>60</v>
      </c>
      <c r="Y31" t="s">
        <v>61</v>
      </c>
      <c r="Z31" t="s">
        <v>62</v>
      </c>
      <c r="AA31" t="s">
        <v>63</v>
      </c>
      <c r="AB31" t="s">
        <v>64</v>
      </c>
      <c r="AC31" t="s">
        <v>65</v>
      </c>
      <c r="AD31" t="s">
        <v>80</v>
      </c>
      <c r="AE31" t="s">
        <v>66</v>
      </c>
      <c r="AG31" t="s">
        <v>81</v>
      </c>
      <c r="AI31" t="s">
        <v>67</v>
      </c>
      <c r="AJ31" t="s">
        <v>79</v>
      </c>
      <c r="AK31" t="s">
        <v>145</v>
      </c>
      <c r="AM31" t="s">
        <v>83</v>
      </c>
      <c r="AN31" t="s">
        <v>70</v>
      </c>
      <c r="AO31" t="s">
        <v>100</v>
      </c>
      <c r="AP31" t="s">
        <v>84</v>
      </c>
      <c r="AT31" t="s">
        <v>109</v>
      </c>
      <c r="AU31" t="s">
        <v>73</v>
      </c>
      <c r="AV31" t="s">
        <v>117</v>
      </c>
      <c r="AW31" t="s">
        <v>118</v>
      </c>
    </row>
    <row r="32" spans="1:49" x14ac:dyDescent="0.25">
      <c r="A32" t="s">
        <v>163</v>
      </c>
      <c r="B32" t="s">
        <v>50</v>
      </c>
      <c r="C32" t="s">
        <v>51</v>
      </c>
      <c r="D32" t="s">
        <v>52</v>
      </c>
      <c r="E32" t="s">
        <v>77</v>
      </c>
      <c r="F32" t="s">
        <v>52</v>
      </c>
      <c r="G32" t="s">
        <v>54</v>
      </c>
      <c r="I32" t="s">
        <v>56</v>
      </c>
      <c r="J32" t="s">
        <v>112</v>
      </c>
      <c r="Q32" t="s">
        <v>57</v>
      </c>
      <c r="R32" t="s">
        <v>58</v>
      </c>
      <c r="U32" t="s">
        <v>60</v>
      </c>
      <c r="V32" t="s">
        <v>78</v>
      </c>
      <c r="Y32" t="s">
        <v>89</v>
      </c>
      <c r="Z32" t="s">
        <v>62</v>
      </c>
      <c r="AA32" t="s">
        <v>63</v>
      </c>
      <c r="AB32" t="s">
        <v>158</v>
      </c>
      <c r="AD32" t="s">
        <v>80</v>
      </c>
      <c r="AE32" t="s">
        <v>66</v>
      </c>
      <c r="AG32" t="s">
        <v>81</v>
      </c>
      <c r="AI32" t="s">
        <v>116</v>
      </c>
      <c r="AJ32" t="s">
        <v>79</v>
      </c>
      <c r="AK32" t="s">
        <v>108</v>
      </c>
      <c r="AP32" t="s">
        <v>84</v>
      </c>
      <c r="AT32" t="s">
        <v>72</v>
      </c>
      <c r="AU32" t="s">
        <v>73</v>
      </c>
      <c r="AV32" t="s">
        <v>74</v>
      </c>
      <c r="AW32" t="s">
        <v>75</v>
      </c>
    </row>
    <row r="33" spans="1:49" x14ac:dyDescent="0.25">
      <c r="A33" t="s">
        <v>164</v>
      </c>
      <c r="B33" t="s">
        <v>50</v>
      </c>
      <c r="C33" t="s">
        <v>51</v>
      </c>
      <c r="D33" t="s">
        <v>52</v>
      </c>
      <c r="E33" t="s">
        <v>125</v>
      </c>
      <c r="F33" t="s">
        <v>52</v>
      </c>
      <c r="G33" t="s">
        <v>120</v>
      </c>
      <c r="H33" t="s">
        <v>55</v>
      </c>
      <c r="I33" t="s">
        <v>56</v>
      </c>
      <c r="Q33" t="s">
        <v>57</v>
      </c>
      <c r="R33" t="s">
        <v>58</v>
      </c>
      <c r="W33" t="s">
        <v>87</v>
      </c>
      <c r="Y33" t="s">
        <v>79</v>
      </c>
      <c r="Z33" t="s">
        <v>62</v>
      </c>
      <c r="AA33" t="s">
        <v>63</v>
      </c>
      <c r="AB33" t="s">
        <v>88</v>
      </c>
      <c r="AC33" t="s">
        <v>65</v>
      </c>
      <c r="AD33" t="s">
        <v>80</v>
      </c>
      <c r="AE33" t="s">
        <v>66</v>
      </c>
      <c r="AG33" t="s">
        <v>81</v>
      </c>
      <c r="AI33" t="s">
        <v>127</v>
      </c>
      <c r="AJ33" t="s">
        <v>79</v>
      </c>
      <c r="AK33" t="s">
        <v>79</v>
      </c>
      <c r="AL33" t="s">
        <v>69</v>
      </c>
      <c r="AP33" t="s">
        <v>84</v>
      </c>
      <c r="AT33" t="s">
        <v>72</v>
      </c>
      <c r="AU33" t="s">
        <v>91</v>
      </c>
      <c r="AV33" t="s">
        <v>110</v>
      </c>
      <c r="AW33" t="s">
        <v>85</v>
      </c>
    </row>
    <row r="34" spans="1:49" x14ac:dyDescent="0.25">
      <c r="A34" t="s">
        <v>165</v>
      </c>
      <c r="B34" t="s">
        <v>50</v>
      </c>
      <c r="C34" t="s">
        <v>51</v>
      </c>
      <c r="D34" t="s">
        <v>52</v>
      </c>
      <c r="E34" t="s">
        <v>53</v>
      </c>
      <c r="F34" t="s">
        <v>52</v>
      </c>
      <c r="G34" t="s">
        <v>120</v>
      </c>
      <c r="H34" t="s">
        <v>55</v>
      </c>
      <c r="I34" t="s">
        <v>56</v>
      </c>
      <c r="J34" t="s">
        <v>112</v>
      </c>
      <c r="Q34" t="s">
        <v>57</v>
      </c>
      <c r="R34" t="s">
        <v>58</v>
      </c>
      <c r="U34" t="s">
        <v>60</v>
      </c>
      <c r="Y34" t="s">
        <v>61</v>
      </c>
      <c r="Z34" t="s">
        <v>133</v>
      </c>
      <c r="AA34" t="s">
        <v>79</v>
      </c>
      <c r="AB34" t="s">
        <v>88</v>
      </c>
      <c r="AE34" t="s">
        <v>66</v>
      </c>
      <c r="AG34" t="s">
        <v>81</v>
      </c>
      <c r="AI34" t="s">
        <v>67</v>
      </c>
      <c r="AJ34" t="s">
        <v>61</v>
      </c>
      <c r="AK34" t="s">
        <v>108</v>
      </c>
      <c r="AL34" t="s">
        <v>69</v>
      </c>
      <c r="AM34" t="s">
        <v>83</v>
      </c>
      <c r="AN34" t="s">
        <v>70</v>
      </c>
      <c r="AQ34" t="s">
        <v>71</v>
      </c>
      <c r="AT34" t="s">
        <v>72</v>
      </c>
      <c r="AU34" t="s">
        <v>91</v>
      </c>
      <c r="AV34" t="s">
        <v>103</v>
      </c>
      <c r="AW34" t="s">
        <v>75</v>
      </c>
    </row>
    <row r="35" spans="1:49" x14ac:dyDescent="0.25">
      <c r="A35" t="s">
        <v>166</v>
      </c>
      <c r="B35" t="s">
        <v>167</v>
      </c>
      <c r="C35" t="s">
        <v>124</v>
      </c>
      <c r="D35" t="s">
        <v>52</v>
      </c>
      <c r="E35" t="s">
        <v>125</v>
      </c>
      <c r="F35" t="s">
        <v>52</v>
      </c>
      <c r="G35" t="s">
        <v>126</v>
      </c>
      <c r="H35" t="s">
        <v>55</v>
      </c>
      <c r="I35" t="s">
        <v>56</v>
      </c>
      <c r="Q35" t="s">
        <v>57</v>
      </c>
      <c r="Y35" t="s">
        <v>61</v>
      </c>
      <c r="Z35" t="s">
        <v>133</v>
      </c>
      <c r="AA35" t="s">
        <v>79</v>
      </c>
      <c r="AB35" t="s">
        <v>64</v>
      </c>
      <c r="AE35" t="s">
        <v>66</v>
      </c>
      <c r="AF35" t="s">
        <v>98</v>
      </c>
      <c r="AG35" t="s">
        <v>81</v>
      </c>
      <c r="AI35" t="s">
        <v>127</v>
      </c>
      <c r="AJ35" t="s">
        <v>61</v>
      </c>
      <c r="AK35" t="s">
        <v>99</v>
      </c>
      <c r="AN35" t="s">
        <v>70</v>
      </c>
      <c r="AP35" t="s">
        <v>84</v>
      </c>
      <c r="AS35" t="s">
        <v>102</v>
      </c>
      <c r="AT35" t="s">
        <v>72</v>
      </c>
      <c r="AU35" t="s">
        <v>91</v>
      </c>
      <c r="AV35" t="s">
        <v>110</v>
      </c>
      <c r="AW35" t="s">
        <v>85</v>
      </c>
    </row>
    <row r="36" spans="1:49" x14ac:dyDescent="0.25">
      <c r="A36" t="s">
        <v>168</v>
      </c>
      <c r="B36" t="s">
        <v>50</v>
      </c>
      <c r="C36" t="s">
        <v>124</v>
      </c>
      <c r="D36" t="s">
        <v>52</v>
      </c>
      <c r="E36" t="s">
        <v>125</v>
      </c>
      <c r="F36" t="s">
        <v>52</v>
      </c>
      <c r="G36" t="s">
        <v>126</v>
      </c>
      <c r="O36" t="s">
        <v>131</v>
      </c>
      <c r="P36" t="s">
        <v>113</v>
      </c>
      <c r="W36" t="s">
        <v>87</v>
      </c>
      <c r="X36" t="s">
        <v>132</v>
      </c>
      <c r="Y36" t="s">
        <v>63</v>
      </c>
      <c r="Z36" t="s">
        <v>62</v>
      </c>
      <c r="AA36" t="s">
        <v>79</v>
      </c>
      <c r="AB36" t="s">
        <v>107</v>
      </c>
      <c r="AE36" t="s">
        <v>66</v>
      </c>
      <c r="AI36" t="s">
        <v>116</v>
      </c>
      <c r="AJ36" t="s">
        <v>79</v>
      </c>
      <c r="AK36" t="s">
        <v>82</v>
      </c>
      <c r="AL36" t="s">
        <v>69</v>
      </c>
      <c r="AN36" t="s">
        <v>70</v>
      </c>
      <c r="AO36" t="s">
        <v>100</v>
      </c>
      <c r="AP36" t="s">
        <v>84</v>
      </c>
      <c r="AS36" t="s">
        <v>102</v>
      </c>
      <c r="AT36" t="s">
        <v>109</v>
      </c>
      <c r="AU36" t="s">
        <v>52</v>
      </c>
      <c r="AV36" t="s">
        <v>74</v>
      </c>
      <c r="AW36" t="s">
        <v>85</v>
      </c>
    </row>
    <row r="37" spans="1:49" x14ac:dyDescent="0.25">
      <c r="A37" t="s">
        <v>169</v>
      </c>
      <c r="B37" t="s">
        <v>167</v>
      </c>
      <c r="C37" t="s">
        <v>137</v>
      </c>
      <c r="D37" t="s">
        <v>52</v>
      </c>
      <c r="E37" t="s">
        <v>153</v>
      </c>
      <c r="F37" t="s">
        <v>52</v>
      </c>
      <c r="G37" t="s">
        <v>54</v>
      </c>
      <c r="H37" t="s">
        <v>55</v>
      </c>
      <c r="I37" t="s">
        <v>56</v>
      </c>
      <c r="K37" t="s">
        <v>94</v>
      </c>
      <c r="M37" t="s">
        <v>129</v>
      </c>
      <c r="Q37" t="s">
        <v>57</v>
      </c>
      <c r="R37" t="s">
        <v>58</v>
      </c>
      <c r="U37" t="s">
        <v>60</v>
      </c>
      <c r="V37" t="s">
        <v>78</v>
      </c>
      <c r="Y37" t="s">
        <v>61</v>
      </c>
      <c r="Z37" t="s">
        <v>133</v>
      </c>
      <c r="AA37" t="s">
        <v>79</v>
      </c>
      <c r="AB37" t="s">
        <v>64</v>
      </c>
      <c r="AC37" t="s">
        <v>65</v>
      </c>
      <c r="AD37" t="s">
        <v>80</v>
      </c>
      <c r="AE37" t="s">
        <v>66</v>
      </c>
      <c r="AG37" t="s">
        <v>81</v>
      </c>
      <c r="AI37" t="s">
        <v>67</v>
      </c>
      <c r="AJ37" t="s">
        <v>61</v>
      </c>
      <c r="AK37" t="s">
        <v>63</v>
      </c>
      <c r="AL37" t="s">
        <v>69</v>
      </c>
      <c r="AM37" t="s">
        <v>83</v>
      </c>
      <c r="AN37" t="s">
        <v>70</v>
      </c>
      <c r="AO37" t="s">
        <v>100</v>
      </c>
      <c r="AP37" t="s">
        <v>84</v>
      </c>
      <c r="AQ37" t="s">
        <v>71</v>
      </c>
      <c r="AT37" t="s">
        <v>72</v>
      </c>
      <c r="AU37" t="s">
        <v>91</v>
      </c>
      <c r="AV37" t="s">
        <v>103</v>
      </c>
      <c r="AW37" t="s">
        <v>104</v>
      </c>
    </row>
    <row r="38" spans="1:49" x14ac:dyDescent="0.25">
      <c r="A38" t="s">
        <v>170</v>
      </c>
      <c r="B38" t="s">
        <v>50</v>
      </c>
      <c r="C38" t="s">
        <v>171</v>
      </c>
      <c r="D38" t="s">
        <v>52</v>
      </c>
      <c r="E38" t="s">
        <v>53</v>
      </c>
      <c r="F38" t="s">
        <v>52</v>
      </c>
      <c r="G38" t="s">
        <v>54</v>
      </c>
      <c r="H38" t="s">
        <v>55</v>
      </c>
      <c r="I38" t="s">
        <v>56</v>
      </c>
      <c r="Q38" t="s">
        <v>57</v>
      </c>
      <c r="R38" t="s">
        <v>58</v>
      </c>
      <c r="S38" t="s">
        <v>59</v>
      </c>
      <c r="T38" t="s">
        <v>96</v>
      </c>
      <c r="Y38" t="s">
        <v>61</v>
      </c>
      <c r="Z38" t="s">
        <v>133</v>
      </c>
      <c r="AA38" t="s">
        <v>79</v>
      </c>
      <c r="AB38" t="s">
        <v>64</v>
      </c>
      <c r="AC38" t="s">
        <v>65</v>
      </c>
      <c r="AE38" t="s">
        <v>66</v>
      </c>
      <c r="AI38" t="s">
        <v>67</v>
      </c>
      <c r="AJ38" t="s">
        <v>61</v>
      </c>
      <c r="AK38" t="s">
        <v>68</v>
      </c>
      <c r="AM38" t="s">
        <v>83</v>
      </c>
      <c r="AO38" t="s">
        <v>100</v>
      </c>
      <c r="AT38" t="s">
        <v>90</v>
      </c>
      <c r="AU38" t="s">
        <v>73</v>
      </c>
      <c r="AV38" t="s">
        <v>74</v>
      </c>
      <c r="AW38" t="s">
        <v>104</v>
      </c>
    </row>
    <row r="39" spans="1:49" x14ac:dyDescent="0.25">
      <c r="A39" t="s">
        <v>172</v>
      </c>
      <c r="B39" t="s">
        <v>50</v>
      </c>
      <c r="C39" t="s">
        <v>51</v>
      </c>
      <c r="D39" t="s">
        <v>52</v>
      </c>
      <c r="E39" t="s">
        <v>106</v>
      </c>
      <c r="F39" t="s">
        <v>52</v>
      </c>
      <c r="G39" t="s">
        <v>54</v>
      </c>
      <c r="H39" t="s">
        <v>55</v>
      </c>
      <c r="I39" t="s">
        <v>56</v>
      </c>
      <c r="K39" t="s">
        <v>94</v>
      </c>
      <c r="P39" t="s">
        <v>113</v>
      </c>
      <c r="Q39" t="s">
        <v>57</v>
      </c>
      <c r="R39" t="s">
        <v>58</v>
      </c>
      <c r="U39" t="s">
        <v>60</v>
      </c>
      <c r="V39" t="s">
        <v>78</v>
      </c>
      <c r="Y39" t="s">
        <v>63</v>
      </c>
      <c r="Z39" t="s">
        <v>133</v>
      </c>
      <c r="AA39" t="s">
        <v>79</v>
      </c>
      <c r="AB39" t="s">
        <v>88</v>
      </c>
      <c r="AD39" t="s">
        <v>80</v>
      </c>
      <c r="AE39" t="s">
        <v>66</v>
      </c>
      <c r="AI39" t="s">
        <v>67</v>
      </c>
      <c r="AJ39" t="s">
        <v>79</v>
      </c>
      <c r="AK39" t="s">
        <v>99</v>
      </c>
      <c r="AM39" t="s">
        <v>83</v>
      </c>
      <c r="AP39" t="s">
        <v>84</v>
      </c>
      <c r="AS39" t="s">
        <v>102</v>
      </c>
      <c r="AT39" t="s">
        <v>117</v>
      </c>
      <c r="AU39" t="s">
        <v>91</v>
      </c>
      <c r="AV39" t="s">
        <v>110</v>
      </c>
      <c r="AW39" t="s">
        <v>75</v>
      </c>
    </row>
    <row r="40" spans="1:49" x14ac:dyDescent="0.25">
      <c r="A40" t="s">
        <v>173</v>
      </c>
      <c r="B40" t="s">
        <v>50</v>
      </c>
      <c r="C40" t="s">
        <v>137</v>
      </c>
      <c r="D40" t="s">
        <v>52</v>
      </c>
      <c r="E40" t="s">
        <v>153</v>
      </c>
      <c r="F40" t="s">
        <v>52</v>
      </c>
      <c r="G40" t="s">
        <v>54</v>
      </c>
      <c r="H40" t="s">
        <v>55</v>
      </c>
      <c r="I40" t="s">
        <v>56</v>
      </c>
      <c r="M40" t="s">
        <v>129</v>
      </c>
      <c r="N40" t="s">
        <v>130</v>
      </c>
      <c r="Q40" t="s">
        <v>57</v>
      </c>
      <c r="R40" t="s">
        <v>58</v>
      </c>
      <c r="S40" t="s">
        <v>59</v>
      </c>
      <c r="U40" t="s">
        <v>60</v>
      </c>
      <c r="V40" t="s">
        <v>78</v>
      </c>
      <c r="Y40" t="s">
        <v>79</v>
      </c>
      <c r="Z40" t="s">
        <v>133</v>
      </c>
      <c r="AA40" t="s">
        <v>155</v>
      </c>
      <c r="AB40" t="s">
        <v>64</v>
      </c>
      <c r="AC40" t="s">
        <v>65</v>
      </c>
      <c r="AD40" t="s">
        <v>80</v>
      </c>
      <c r="AE40" t="s">
        <v>66</v>
      </c>
      <c r="AI40" t="s">
        <v>67</v>
      </c>
      <c r="AJ40" t="s">
        <v>61</v>
      </c>
      <c r="AK40" t="s">
        <v>61</v>
      </c>
      <c r="AL40" t="s">
        <v>69</v>
      </c>
      <c r="AM40" t="s">
        <v>83</v>
      </c>
      <c r="AN40" t="s">
        <v>70</v>
      </c>
      <c r="AS40" t="s">
        <v>102</v>
      </c>
      <c r="AT40" t="s">
        <v>109</v>
      </c>
      <c r="AU40" t="s">
        <v>73</v>
      </c>
      <c r="AV40" t="s">
        <v>74</v>
      </c>
      <c r="AW40" t="s">
        <v>104</v>
      </c>
    </row>
    <row r="41" spans="1:49" x14ac:dyDescent="0.25">
      <c r="A41" t="s">
        <v>174</v>
      </c>
      <c r="B41" t="s">
        <v>93</v>
      </c>
      <c r="C41" t="s">
        <v>142</v>
      </c>
      <c r="D41" t="s">
        <v>52</v>
      </c>
      <c r="E41" t="s">
        <v>125</v>
      </c>
      <c r="F41" t="s">
        <v>52</v>
      </c>
      <c r="G41" t="s">
        <v>120</v>
      </c>
      <c r="H41" t="s">
        <v>55</v>
      </c>
      <c r="I41" t="s">
        <v>56</v>
      </c>
      <c r="K41" t="s">
        <v>94</v>
      </c>
      <c r="Q41" t="s">
        <v>57</v>
      </c>
      <c r="Y41" t="s">
        <v>79</v>
      </c>
      <c r="Z41" t="s">
        <v>62</v>
      </c>
      <c r="AA41" t="s">
        <v>79</v>
      </c>
      <c r="AB41" t="s">
        <v>64</v>
      </c>
      <c r="AC41" t="s">
        <v>65</v>
      </c>
      <c r="AE41" t="s">
        <v>66</v>
      </c>
      <c r="AF41" t="s">
        <v>98</v>
      </c>
      <c r="AI41" t="s">
        <v>127</v>
      </c>
      <c r="AJ41" t="s">
        <v>79</v>
      </c>
      <c r="AK41" t="s">
        <v>145</v>
      </c>
      <c r="AL41" t="s">
        <v>69</v>
      </c>
      <c r="AM41" t="s">
        <v>83</v>
      </c>
      <c r="AN41" t="s">
        <v>70</v>
      </c>
      <c r="AT41" t="s">
        <v>90</v>
      </c>
      <c r="AU41" t="s">
        <v>52</v>
      </c>
      <c r="AV41" t="s">
        <v>103</v>
      </c>
      <c r="AW41" t="s">
        <v>85</v>
      </c>
    </row>
    <row r="42" spans="1:49" x14ac:dyDescent="0.25">
      <c r="A42" t="s">
        <v>175</v>
      </c>
      <c r="B42" t="s">
        <v>167</v>
      </c>
      <c r="C42" t="s">
        <v>124</v>
      </c>
      <c r="D42" t="s">
        <v>52</v>
      </c>
      <c r="E42" t="s">
        <v>53</v>
      </c>
      <c r="F42" t="s">
        <v>52</v>
      </c>
      <c r="G42" t="s">
        <v>54</v>
      </c>
      <c r="H42" t="s">
        <v>55</v>
      </c>
      <c r="P42" t="s">
        <v>113</v>
      </c>
      <c r="Q42" t="s">
        <v>57</v>
      </c>
      <c r="R42" t="s">
        <v>58</v>
      </c>
      <c r="V42" t="s">
        <v>78</v>
      </c>
      <c r="W42" t="s">
        <v>87</v>
      </c>
      <c r="Y42" t="s">
        <v>61</v>
      </c>
      <c r="Z42" t="s">
        <v>133</v>
      </c>
      <c r="AA42" t="s">
        <v>89</v>
      </c>
      <c r="AB42" t="s">
        <v>64</v>
      </c>
      <c r="AC42" t="s">
        <v>65</v>
      </c>
      <c r="AD42" t="s">
        <v>80</v>
      </c>
      <c r="AF42" t="s">
        <v>98</v>
      </c>
      <c r="AG42" t="s">
        <v>81</v>
      </c>
      <c r="AI42" t="s">
        <v>67</v>
      </c>
      <c r="AJ42" t="s">
        <v>63</v>
      </c>
      <c r="AK42" t="s">
        <v>61</v>
      </c>
      <c r="AM42" t="s">
        <v>83</v>
      </c>
      <c r="AP42" t="s">
        <v>84</v>
      </c>
      <c r="AQ42" t="s">
        <v>71</v>
      </c>
      <c r="AT42" t="s">
        <v>109</v>
      </c>
      <c r="AU42" t="s">
        <v>91</v>
      </c>
      <c r="AV42" t="s">
        <v>74</v>
      </c>
      <c r="AW42" t="s">
        <v>75</v>
      </c>
    </row>
    <row r="43" spans="1:49" x14ac:dyDescent="0.25">
      <c r="A43" t="s">
        <v>176</v>
      </c>
      <c r="B43" t="s">
        <v>93</v>
      </c>
      <c r="C43" t="s">
        <v>142</v>
      </c>
      <c r="D43" t="s">
        <v>52</v>
      </c>
      <c r="E43" t="s">
        <v>53</v>
      </c>
      <c r="F43" t="s">
        <v>52</v>
      </c>
      <c r="G43" t="s">
        <v>120</v>
      </c>
      <c r="H43" t="s">
        <v>55</v>
      </c>
      <c r="I43" t="s">
        <v>56</v>
      </c>
      <c r="K43" t="s">
        <v>94</v>
      </c>
      <c r="L43" t="s">
        <v>95</v>
      </c>
      <c r="Q43" t="s">
        <v>57</v>
      </c>
      <c r="R43" t="s">
        <v>58</v>
      </c>
      <c r="Y43" t="s">
        <v>89</v>
      </c>
      <c r="Z43" t="s">
        <v>62</v>
      </c>
      <c r="AA43" t="s">
        <v>79</v>
      </c>
      <c r="AB43" t="s">
        <v>158</v>
      </c>
      <c r="AH43" t="s">
        <v>134</v>
      </c>
      <c r="AI43" t="s">
        <v>116</v>
      </c>
      <c r="AJ43" t="s">
        <v>63</v>
      </c>
      <c r="AK43" t="s">
        <v>82</v>
      </c>
      <c r="AL43" t="s">
        <v>69</v>
      </c>
      <c r="AM43" t="s">
        <v>83</v>
      </c>
      <c r="AQ43" t="s">
        <v>71</v>
      </c>
      <c r="AS43" t="s">
        <v>102</v>
      </c>
      <c r="AT43" t="s">
        <v>90</v>
      </c>
      <c r="AU43" t="s">
        <v>73</v>
      </c>
      <c r="AV43" t="s">
        <v>74</v>
      </c>
      <c r="AW43" t="s">
        <v>118</v>
      </c>
    </row>
    <row r="44" spans="1:49" x14ac:dyDescent="0.25">
      <c r="A44" t="s">
        <v>177</v>
      </c>
      <c r="B44" t="s">
        <v>50</v>
      </c>
      <c r="C44" t="s">
        <v>51</v>
      </c>
      <c r="D44" t="s">
        <v>52</v>
      </c>
      <c r="E44" t="s">
        <v>53</v>
      </c>
      <c r="F44" t="s">
        <v>52</v>
      </c>
      <c r="G44" t="s">
        <v>54</v>
      </c>
      <c r="H44" t="s">
        <v>55</v>
      </c>
      <c r="Q44" t="s">
        <v>57</v>
      </c>
      <c r="Y44" t="s">
        <v>61</v>
      </c>
      <c r="Z44" t="s">
        <v>97</v>
      </c>
      <c r="AA44" t="s">
        <v>63</v>
      </c>
      <c r="AB44" t="s">
        <v>88</v>
      </c>
      <c r="AD44" t="s">
        <v>80</v>
      </c>
      <c r="AE44" t="s">
        <v>66</v>
      </c>
      <c r="AI44" t="s">
        <v>67</v>
      </c>
      <c r="AJ44" t="s">
        <v>63</v>
      </c>
      <c r="AK44" t="s">
        <v>82</v>
      </c>
      <c r="AL44" t="s">
        <v>69</v>
      </c>
      <c r="AN44" t="s">
        <v>70</v>
      </c>
      <c r="AQ44" t="s">
        <v>71</v>
      </c>
      <c r="AT44" t="s">
        <v>109</v>
      </c>
      <c r="AU44" t="s">
        <v>91</v>
      </c>
      <c r="AV44" t="s">
        <v>74</v>
      </c>
      <c r="AW44" t="s">
        <v>85</v>
      </c>
    </row>
    <row r="45" spans="1:49" x14ac:dyDescent="0.25">
      <c r="A45" t="s">
        <v>178</v>
      </c>
      <c r="B45" t="s">
        <v>50</v>
      </c>
      <c r="C45" t="s">
        <v>51</v>
      </c>
      <c r="D45" t="s">
        <v>52</v>
      </c>
      <c r="E45" t="s">
        <v>106</v>
      </c>
      <c r="F45" t="s">
        <v>52</v>
      </c>
      <c r="G45" t="s">
        <v>54</v>
      </c>
      <c r="H45" t="s">
        <v>55</v>
      </c>
      <c r="I45" t="s">
        <v>56</v>
      </c>
      <c r="M45" t="s">
        <v>129</v>
      </c>
      <c r="N45" t="s">
        <v>130</v>
      </c>
      <c r="Q45" t="s">
        <v>57</v>
      </c>
      <c r="R45" t="s">
        <v>58</v>
      </c>
      <c r="S45" t="s">
        <v>59</v>
      </c>
      <c r="U45" t="s">
        <v>60</v>
      </c>
      <c r="Y45" t="s">
        <v>79</v>
      </c>
      <c r="Z45" t="s">
        <v>133</v>
      </c>
      <c r="AA45" t="s">
        <v>79</v>
      </c>
      <c r="AB45" t="s">
        <v>88</v>
      </c>
      <c r="AD45" t="s">
        <v>80</v>
      </c>
      <c r="AG45" t="s">
        <v>81</v>
      </c>
      <c r="AI45" t="s">
        <v>67</v>
      </c>
      <c r="AJ45" t="s">
        <v>61</v>
      </c>
      <c r="AK45" t="s">
        <v>82</v>
      </c>
      <c r="AL45" t="s">
        <v>69</v>
      </c>
      <c r="AM45" t="s">
        <v>83</v>
      </c>
      <c r="AP45" t="s">
        <v>84</v>
      </c>
      <c r="AT45" t="s">
        <v>109</v>
      </c>
      <c r="AU45" t="s">
        <v>91</v>
      </c>
      <c r="AV45" t="s">
        <v>74</v>
      </c>
      <c r="AW45" t="s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836D-D1AC-499E-9946-A515BA433522}">
  <dimension ref="A1:E43"/>
  <sheetViews>
    <sheetView workbookViewId="0"/>
    <sheetView tabSelected="1" workbookViewId="1">
      <selection activeCell="A10" sqref="A10"/>
    </sheetView>
  </sheetViews>
  <sheetFormatPr defaultRowHeight="15" x14ac:dyDescent="0.25"/>
  <sheetData>
    <row r="1" spans="1:5" x14ac:dyDescent="0.25">
      <c r="A1" t="s">
        <v>6</v>
      </c>
      <c r="B1" t="s">
        <v>24</v>
      </c>
      <c r="C1" t="s">
        <v>26</v>
      </c>
      <c r="D1" t="s">
        <v>35</v>
      </c>
      <c r="E1" t="s">
        <v>36</v>
      </c>
    </row>
    <row r="2" spans="1:5" x14ac:dyDescent="0.25">
      <c r="A2" t="s">
        <v>54</v>
      </c>
      <c r="B2" s="15">
        <v>5</v>
      </c>
      <c r="C2" s="15">
        <v>3</v>
      </c>
      <c r="D2" s="15">
        <v>5</v>
      </c>
      <c r="E2" s="15">
        <v>10</v>
      </c>
    </row>
    <row r="3" spans="1:5" x14ac:dyDescent="0.25">
      <c r="A3" t="s">
        <v>54</v>
      </c>
      <c r="B3" s="15">
        <v>5</v>
      </c>
      <c r="C3" s="15">
        <v>4</v>
      </c>
      <c r="D3" s="15">
        <v>3</v>
      </c>
      <c r="E3" s="15">
        <v>8</v>
      </c>
    </row>
    <row r="4" spans="1:5" x14ac:dyDescent="0.25">
      <c r="A4" t="s">
        <v>54</v>
      </c>
      <c r="B4" s="15">
        <v>4</v>
      </c>
      <c r="C4" s="15">
        <v>3</v>
      </c>
      <c r="D4" s="15">
        <v>2</v>
      </c>
      <c r="E4" s="15">
        <v>3</v>
      </c>
    </row>
    <row r="5" spans="1:5" x14ac:dyDescent="0.25">
      <c r="A5" t="s">
        <v>54</v>
      </c>
      <c r="B5" s="15">
        <v>5</v>
      </c>
      <c r="C5" s="15">
        <v>5</v>
      </c>
      <c r="D5" s="15">
        <v>3</v>
      </c>
      <c r="E5" s="15">
        <v>7</v>
      </c>
    </row>
    <row r="6" spans="1:5" x14ac:dyDescent="0.25">
      <c r="A6" t="s">
        <v>54</v>
      </c>
      <c r="B6" s="15">
        <v>3</v>
      </c>
      <c r="C6" s="15">
        <v>2</v>
      </c>
      <c r="D6" s="15">
        <v>3</v>
      </c>
      <c r="E6" s="15">
        <v>6</v>
      </c>
    </row>
    <row r="7" spans="1:5" x14ac:dyDescent="0.25">
      <c r="A7" t="s">
        <v>54</v>
      </c>
      <c r="B7" s="15">
        <v>3</v>
      </c>
      <c r="C7" s="15">
        <v>2</v>
      </c>
      <c r="D7" s="15">
        <v>5</v>
      </c>
      <c r="E7" s="15">
        <v>7</v>
      </c>
    </row>
    <row r="8" spans="1:5" x14ac:dyDescent="0.25">
      <c r="A8" t="s">
        <v>54</v>
      </c>
      <c r="B8" s="15">
        <v>3</v>
      </c>
      <c r="C8" s="15">
        <v>3</v>
      </c>
      <c r="D8" s="15">
        <v>3</v>
      </c>
      <c r="E8" s="15">
        <v>6</v>
      </c>
    </row>
    <row r="9" spans="1:5" x14ac:dyDescent="0.25">
      <c r="A9" t="s">
        <v>120</v>
      </c>
      <c r="B9" s="15">
        <v>3</v>
      </c>
      <c r="C9" s="15">
        <v>2</v>
      </c>
      <c r="D9" s="15">
        <v>3</v>
      </c>
      <c r="E9" s="15">
        <v>5</v>
      </c>
    </row>
    <row r="10" spans="1:5" x14ac:dyDescent="0.25">
      <c r="A10" t="s">
        <v>126</v>
      </c>
      <c r="B10" s="15">
        <v>5</v>
      </c>
      <c r="C10" s="15">
        <v>3</v>
      </c>
      <c r="D10" s="15">
        <v>4</v>
      </c>
      <c r="E10" s="15">
        <v>6</v>
      </c>
    </row>
    <row r="11" spans="1:5" x14ac:dyDescent="0.25">
      <c r="A11" t="s">
        <v>54</v>
      </c>
      <c r="B11" s="15">
        <v>5</v>
      </c>
      <c r="C11" s="15">
        <v>4</v>
      </c>
      <c r="D11" s="15">
        <v>5</v>
      </c>
      <c r="E11" s="15">
        <v>10</v>
      </c>
    </row>
    <row r="12" spans="1:5" x14ac:dyDescent="0.25">
      <c r="A12" t="s">
        <v>120</v>
      </c>
      <c r="B12" s="15">
        <v>4</v>
      </c>
      <c r="C12" s="15">
        <v>3</v>
      </c>
      <c r="D12" s="15">
        <v>2</v>
      </c>
      <c r="E12" s="15">
        <v>3</v>
      </c>
    </row>
    <row r="13" spans="1:5" x14ac:dyDescent="0.25">
      <c r="A13" t="s">
        <v>54</v>
      </c>
      <c r="B13" s="15">
        <v>5</v>
      </c>
      <c r="C13" s="15">
        <v>3</v>
      </c>
      <c r="D13" s="15">
        <v>3</v>
      </c>
      <c r="E13" s="15">
        <v>7</v>
      </c>
    </row>
    <row r="14" spans="1:5" x14ac:dyDescent="0.25">
      <c r="A14" t="s">
        <v>120</v>
      </c>
      <c r="B14" s="15">
        <v>2</v>
      </c>
      <c r="C14" s="15">
        <v>3</v>
      </c>
      <c r="D14" s="15">
        <v>3</v>
      </c>
      <c r="E14" s="15">
        <v>5</v>
      </c>
    </row>
    <row r="15" spans="1:5" x14ac:dyDescent="0.25">
      <c r="A15" t="s">
        <v>120</v>
      </c>
      <c r="B15" s="15">
        <v>4</v>
      </c>
      <c r="C15" s="15">
        <v>3</v>
      </c>
      <c r="D15" s="15">
        <v>4</v>
      </c>
      <c r="E15" s="15">
        <v>7</v>
      </c>
    </row>
    <row r="16" spans="1:5" x14ac:dyDescent="0.25">
      <c r="A16" t="s">
        <v>120</v>
      </c>
      <c r="B16" s="15">
        <v>5</v>
      </c>
      <c r="C16" s="15">
        <v>4</v>
      </c>
      <c r="D16" s="15">
        <v>4</v>
      </c>
      <c r="E16" s="15">
        <v>9</v>
      </c>
    </row>
    <row r="17" spans="1:5" x14ac:dyDescent="0.25">
      <c r="A17" t="s">
        <v>54</v>
      </c>
      <c r="B17" s="15">
        <v>5</v>
      </c>
      <c r="C17" s="15">
        <v>4</v>
      </c>
      <c r="D17" s="15">
        <v>5</v>
      </c>
      <c r="E17" s="15">
        <v>8</v>
      </c>
    </row>
    <row r="18" spans="1:5" x14ac:dyDescent="0.25">
      <c r="A18" t="s">
        <v>54</v>
      </c>
      <c r="B18" s="15">
        <v>5</v>
      </c>
      <c r="C18" s="15">
        <v>3</v>
      </c>
      <c r="D18" s="15">
        <v>4</v>
      </c>
      <c r="E18" s="15">
        <v>6</v>
      </c>
    </row>
    <row r="19" spans="1:5" x14ac:dyDescent="0.25">
      <c r="A19" t="s">
        <v>120</v>
      </c>
      <c r="B19" s="15">
        <v>4</v>
      </c>
      <c r="C19" s="15">
        <v>3</v>
      </c>
      <c r="D19" s="15">
        <v>4</v>
      </c>
      <c r="E19" s="15">
        <v>5</v>
      </c>
    </row>
    <row r="20" spans="1:5" x14ac:dyDescent="0.25">
      <c r="A20" t="s">
        <v>120</v>
      </c>
      <c r="B20" s="15">
        <v>4</v>
      </c>
      <c r="C20" s="15">
        <v>3</v>
      </c>
      <c r="D20" s="15">
        <v>4</v>
      </c>
      <c r="E20" s="15">
        <v>6</v>
      </c>
    </row>
    <row r="21" spans="1:5" x14ac:dyDescent="0.25">
      <c r="A21" t="s">
        <v>54</v>
      </c>
      <c r="B21" s="15">
        <v>5</v>
      </c>
      <c r="C21" s="15">
        <v>3</v>
      </c>
      <c r="D21" s="15">
        <v>4</v>
      </c>
      <c r="E21" s="15">
        <v>9</v>
      </c>
    </row>
    <row r="22" spans="1:5" x14ac:dyDescent="0.25">
      <c r="A22" t="s">
        <v>54</v>
      </c>
      <c r="B22" s="15">
        <v>5</v>
      </c>
      <c r="C22" s="15">
        <v>4</v>
      </c>
      <c r="D22" s="15">
        <v>5</v>
      </c>
      <c r="E22" s="15">
        <v>8</v>
      </c>
    </row>
    <row r="23" spans="1:5" x14ac:dyDescent="0.25">
      <c r="A23" t="s">
        <v>54</v>
      </c>
      <c r="B23" s="15">
        <v>4</v>
      </c>
      <c r="C23" s="15">
        <v>2</v>
      </c>
      <c r="D23" s="15">
        <v>5</v>
      </c>
      <c r="E23" s="15">
        <v>10</v>
      </c>
    </row>
    <row r="24" spans="1:5" x14ac:dyDescent="0.25">
      <c r="A24" t="s">
        <v>54</v>
      </c>
      <c r="B24" s="15">
        <v>5</v>
      </c>
      <c r="C24" s="15">
        <v>4</v>
      </c>
      <c r="D24" s="15">
        <v>1</v>
      </c>
      <c r="E24" s="15">
        <v>3</v>
      </c>
    </row>
    <row r="25" spans="1:5" x14ac:dyDescent="0.25">
      <c r="A25" t="s">
        <v>54</v>
      </c>
      <c r="B25" s="15">
        <v>5</v>
      </c>
      <c r="C25" s="15">
        <v>5</v>
      </c>
      <c r="D25" s="15">
        <v>4</v>
      </c>
      <c r="E25" s="15">
        <v>5</v>
      </c>
    </row>
    <row r="26" spans="1:5" x14ac:dyDescent="0.25">
      <c r="A26" t="s">
        <v>120</v>
      </c>
      <c r="B26" s="15">
        <v>4</v>
      </c>
      <c r="C26" s="15">
        <v>3</v>
      </c>
      <c r="D26" s="15">
        <v>5</v>
      </c>
      <c r="E26" s="15">
        <v>8</v>
      </c>
    </row>
    <row r="27" spans="1:5" x14ac:dyDescent="0.25">
      <c r="A27" t="s">
        <v>120</v>
      </c>
      <c r="B27" s="15">
        <v>3</v>
      </c>
      <c r="C27" s="15">
        <v>3</v>
      </c>
      <c r="D27" s="15">
        <v>4</v>
      </c>
      <c r="E27" s="15">
        <v>7</v>
      </c>
    </row>
    <row r="28" spans="1:5" x14ac:dyDescent="0.25">
      <c r="A28" t="s">
        <v>54</v>
      </c>
      <c r="B28" s="15">
        <v>5</v>
      </c>
      <c r="C28" s="15">
        <v>3</v>
      </c>
      <c r="D28" s="15">
        <v>5</v>
      </c>
      <c r="E28" s="15">
        <v>5</v>
      </c>
    </row>
    <row r="29" spans="1:5" x14ac:dyDescent="0.25">
      <c r="A29" t="s">
        <v>54</v>
      </c>
      <c r="B29" s="15">
        <v>2</v>
      </c>
      <c r="C29" s="15">
        <v>3</v>
      </c>
      <c r="D29" s="15">
        <v>4</v>
      </c>
      <c r="E29" s="15">
        <v>9</v>
      </c>
    </row>
    <row r="30" spans="1:5" x14ac:dyDescent="0.25">
      <c r="A30" t="s">
        <v>120</v>
      </c>
      <c r="B30" s="15">
        <v>4</v>
      </c>
      <c r="C30" s="15">
        <v>3</v>
      </c>
      <c r="D30" s="15">
        <v>4</v>
      </c>
      <c r="E30" s="15">
        <v>6</v>
      </c>
    </row>
    <row r="31" spans="1:5" x14ac:dyDescent="0.25">
      <c r="A31" t="s">
        <v>120</v>
      </c>
      <c r="B31" s="15">
        <v>5</v>
      </c>
      <c r="C31" s="15">
        <v>4</v>
      </c>
      <c r="D31" s="15">
        <v>4</v>
      </c>
      <c r="E31" s="15">
        <v>4</v>
      </c>
    </row>
    <row r="32" spans="1:5" x14ac:dyDescent="0.25">
      <c r="A32" t="s">
        <v>126</v>
      </c>
      <c r="B32" s="15">
        <v>5</v>
      </c>
      <c r="C32" s="15">
        <v>4</v>
      </c>
      <c r="D32" s="15">
        <v>5</v>
      </c>
      <c r="E32" s="15">
        <v>6</v>
      </c>
    </row>
    <row r="33" spans="1:5" x14ac:dyDescent="0.25">
      <c r="A33" t="s">
        <v>126</v>
      </c>
      <c r="B33" s="15">
        <v>3</v>
      </c>
      <c r="C33" s="15">
        <v>4</v>
      </c>
      <c r="D33" s="15">
        <v>5</v>
      </c>
      <c r="E33" s="15">
        <v>7</v>
      </c>
    </row>
    <row r="34" spans="1:5" x14ac:dyDescent="0.25">
      <c r="A34" t="s">
        <v>54</v>
      </c>
      <c r="B34" s="15">
        <v>5</v>
      </c>
      <c r="C34" s="15">
        <v>4</v>
      </c>
      <c r="D34" s="15">
        <v>4</v>
      </c>
      <c r="E34" s="15">
        <v>8</v>
      </c>
    </row>
    <row r="35" spans="1:5" x14ac:dyDescent="0.25">
      <c r="A35" t="s">
        <v>54</v>
      </c>
      <c r="B35" s="15">
        <v>5</v>
      </c>
      <c r="C35" s="15">
        <v>4</v>
      </c>
      <c r="D35" s="15">
        <v>5</v>
      </c>
      <c r="E35" s="15">
        <v>3</v>
      </c>
    </row>
    <row r="36" spans="1:5" x14ac:dyDescent="0.25">
      <c r="A36" t="s">
        <v>54</v>
      </c>
      <c r="B36" s="15">
        <v>3</v>
      </c>
      <c r="C36" s="15">
        <v>4</v>
      </c>
      <c r="D36" s="15">
        <v>5</v>
      </c>
      <c r="E36" s="15">
        <v>10</v>
      </c>
    </row>
    <row r="37" spans="1:5" x14ac:dyDescent="0.25">
      <c r="A37" t="s">
        <v>54</v>
      </c>
      <c r="B37" s="15">
        <v>4</v>
      </c>
      <c r="C37" s="15">
        <v>1</v>
      </c>
      <c r="D37" s="15">
        <v>4</v>
      </c>
      <c r="E37" s="15">
        <v>7</v>
      </c>
    </row>
    <row r="38" spans="1:5" x14ac:dyDescent="0.25">
      <c r="A38" t="s">
        <v>120</v>
      </c>
      <c r="B38" s="15">
        <v>4</v>
      </c>
      <c r="C38" s="15">
        <v>4</v>
      </c>
      <c r="D38" s="15">
        <v>5</v>
      </c>
      <c r="E38" s="15">
        <v>5</v>
      </c>
    </row>
    <row r="39" spans="1:5" x14ac:dyDescent="0.25">
      <c r="A39" t="s">
        <v>54</v>
      </c>
      <c r="B39" s="15">
        <v>5</v>
      </c>
      <c r="C39" s="15">
        <v>2</v>
      </c>
      <c r="D39" s="15">
        <v>4</v>
      </c>
      <c r="E39" s="15">
        <v>9</v>
      </c>
    </row>
    <row r="40" spans="1:5" x14ac:dyDescent="0.25">
      <c r="A40" t="s">
        <v>120</v>
      </c>
      <c r="B40" s="15">
        <v>2</v>
      </c>
      <c r="C40" s="15">
        <v>4</v>
      </c>
      <c r="D40" s="15">
        <v>3</v>
      </c>
      <c r="E40" s="15">
        <v>5</v>
      </c>
    </row>
    <row r="41" spans="1:5" x14ac:dyDescent="0.25">
      <c r="A41" t="s">
        <v>54</v>
      </c>
      <c r="B41" s="15">
        <v>5</v>
      </c>
      <c r="C41" s="15">
        <v>3</v>
      </c>
      <c r="D41" s="15">
        <v>3</v>
      </c>
      <c r="E41" s="15">
        <v>8</v>
      </c>
    </row>
    <row r="42" spans="1:5" x14ac:dyDescent="0.25">
      <c r="A42" t="s">
        <v>54</v>
      </c>
      <c r="B42" s="15">
        <v>4</v>
      </c>
      <c r="C42" s="15">
        <v>4</v>
      </c>
      <c r="D42" s="15">
        <v>3</v>
      </c>
      <c r="E42" s="15">
        <v>8</v>
      </c>
    </row>
    <row r="43" spans="1:5" x14ac:dyDescent="0.25">
      <c r="D43" s="15">
        <v>5</v>
      </c>
      <c r="E43" s="15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6827-585C-4F3F-A5D1-52F6B54EE750}">
  <dimension ref="A1:G6"/>
  <sheetViews>
    <sheetView topLeftCell="A10" workbookViewId="0">
      <selection activeCell="L23" sqref="L23"/>
    </sheetView>
    <sheetView workbookViewId="1"/>
  </sheetViews>
  <sheetFormatPr defaultRowHeight="15" x14ac:dyDescent="0.25"/>
  <cols>
    <col min="6" max="6" width="11" customWidth="1"/>
  </cols>
  <sheetData>
    <row r="1" spans="1:7" x14ac:dyDescent="0.25">
      <c r="A1" t="s">
        <v>182</v>
      </c>
      <c r="B1" t="s">
        <v>180</v>
      </c>
      <c r="D1" t="s">
        <v>2</v>
      </c>
      <c r="G1" t="s">
        <v>180</v>
      </c>
    </row>
    <row r="2" spans="1:7" x14ac:dyDescent="0.25">
      <c r="A2" t="s">
        <v>50</v>
      </c>
      <c r="B2">
        <f>COUNTIF(первоначальная!B:B,A2)</f>
        <v>30</v>
      </c>
      <c r="D2" s="14" t="s">
        <v>51</v>
      </c>
      <c r="G2">
        <f>COUNTIF(первоначальная!C:C,D2)</f>
        <v>30</v>
      </c>
    </row>
    <row r="3" spans="1:7" x14ac:dyDescent="0.25">
      <c r="A3" t="s">
        <v>93</v>
      </c>
      <c r="B3">
        <f>COUNTIF(первоначальная!B:B,A3)</f>
        <v>8</v>
      </c>
      <c r="D3" s="14" t="s">
        <v>124</v>
      </c>
      <c r="G3">
        <f>COUNTIF(первоначальная!C:C,D3)</f>
        <v>5</v>
      </c>
    </row>
    <row r="4" spans="1:7" x14ac:dyDescent="0.25">
      <c r="A4" t="s">
        <v>167</v>
      </c>
      <c r="B4">
        <f>COUNTIF(первоначальная!B:B,A4)</f>
        <v>3</v>
      </c>
      <c r="D4" s="14" t="s">
        <v>137</v>
      </c>
      <c r="G4">
        <f>COUNTIF(первоначальная!C:C,D4)</f>
        <v>4</v>
      </c>
    </row>
    <row r="5" spans="1:7" x14ac:dyDescent="0.25">
      <c r="A5" t="s">
        <v>136</v>
      </c>
      <c r="B5">
        <f>COUNTIF(первоначальная!B:B,A5)</f>
        <v>2</v>
      </c>
      <c r="D5" s="14" t="s">
        <v>142</v>
      </c>
      <c r="G5">
        <f>COUNTIF(первоначальная!C:C,D5)</f>
        <v>4</v>
      </c>
    </row>
    <row r="6" spans="1:7" x14ac:dyDescent="0.25">
      <c r="A6" t="s">
        <v>122</v>
      </c>
      <c r="B6">
        <f>COUNTIF(первоначальная!B:B,A6)</f>
        <v>1</v>
      </c>
      <c r="D6" s="14" t="s">
        <v>171</v>
      </c>
      <c r="G6">
        <f>COUNTIF(первоначальная!C:C,D6)</f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94FD-BF68-4762-9A45-F18D78F1E6F7}">
  <dimension ref="A1:G9"/>
  <sheetViews>
    <sheetView zoomScaleNormal="100" workbookViewId="0">
      <selection activeCell="I35" sqref="I35"/>
    </sheetView>
    <sheetView workbookViewId="1"/>
  </sheetViews>
  <sheetFormatPr defaultRowHeight="15" x14ac:dyDescent="0.25"/>
  <sheetData>
    <row r="1" spans="1:7" ht="15.75" thickBot="1" x14ac:dyDescent="0.3">
      <c r="A1" s="9" t="s">
        <v>179</v>
      </c>
      <c r="B1" s="10"/>
      <c r="C1" s="10"/>
      <c r="D1" s="10"/>
      <c r="E1" s="10"/>
      <c r="F1" s="10"/>
      <c r="G1" s="11" t="s">
        <v>180</v>
      </c>
    </row>
    <row r="2" spans="1:7" x14ac:dyDescent="0.25">
      <c r="A2" s="5" t="s">
        <v>112</v>
      </c>
      <c r="B2" s="6"/>
      <c r="C2" s="6"/>
      <c r="D2" s="6"/>
      <c r="E2" s="6"/>
      <c r="F2" s="6"/>
      <c r="G2" s="2">
        <f>COUNTIF(первоначальная!J:J,A2)</f>
        <v>6</v>
      </c>
    </row>
    <row r="3" spans="1:7" x14ac:dyDescent="0.25">
      <c r="A3" s="5" t="s">
        <v>94</v>
      </c>
      <c r="B3" s="6"/>
      <c r="C3" s="6"/>
      <c r="D3" s="6"/>
      <c r="E3" s="6"/>
      <c r="F3" s="6"/>
      <c r="G3" s="3">
        <f>COUNTIF(первоначальная!K:K,A3)</f>
        <v>12</v>
      </c>
    </row>
    <row r="4" spans="1:7" x14ac:dyDescent="0.25">
      <c r="A4" s="5" t="s">
        <v>95</v>
      </c>
      <c r="B4" s="6"/>
      <c r="C4" s="6"/>
      <c r="D4" s="6"/>
      <c r="E4" s="6"/>
      <c r="F4" s="6"/>
      <c r="G4" s="3">
        <f>COUNTIF(первоначальная!L:L,A4)</f>
        <v>9</v>
      </c>
    </row>
    <row r="5" spans="1:7" x14ac:dyDescent="0.25">
      <c r="A5" s="5" t="s">
        <v>129</v>
      </c>
      <c r="B5" s="6"/>
      <c r="C5" s="6"/>
      <c r="D5" s="6"/>
      <c r="E5" s="6"/>
      <c r="F5" s="6"/>
      <c r="G5" s="3">
        <f>COUNTIF(первоначальная!M:M,A5)</f>
        <v>8</v>
      </c>
    </row>
    <row r="6" spans="1:7" x14ac:dyDescent="0.25">
      <c r="A6" s="5" t="s">
        <v>130</v>
      </c>
      <c r="B6" s="6"/>
      <c r="C6" s="6"/>
      <c r="D6" s="6"/>
      <c r="E6" s="6"/>
      <c r="F6" s="6"/>
      <c r="G6" s="3">
        <f>COUNTIF(первоначальная!N:N,A6)</f>
        <v>5</v>
      </c>
    </row>
    <row r="7" spans="1:7" x14ac:dyDescent="0.25">
      <c r="A7" s="5" t="s">
        <v>131</v>
      </c>
      <c r="B7" s="6"/>
      <c r="C7" s="6"/>
      <c r="D7" s="6"/>
      <c r="E7" s="6"/>
      <c r="F7" s="6"/>
      <c r="G7" s="3">
        <f>COUNTIF(первоначальная!O:O,A7)</f>
        <v>7</v>
      </c>
    </row>
    <row r="8" spans="1:7" x14ac:dyDescent="0.25">
      <c r="A8" s="5" t="s">
        <v>55</v>
      </c>
      <c r="B8" s="6"/>
      <c r="C8" s="6"/>
      <c r="D8" s="6"/>
      <c r="E8" s="6"/>
      <c r="F8" s="6"/>
      <c r="G8" s="3">
        <f>COUNTIF(первоначальная!H:H,"ChatGPT")</f>
        <v>34</v>
      </c>
    </row>
    <row r="9" spans="1:7" ht="15.75" thickBot="1" x14ac:dyDescent="0.3">
      <c r="A9" s="7" t="s">
        <v>56</v>
      </c>
      <c r="B9" s="8"/>
      <c r="C9" s="8"/>
      <c r="D9" s="8"/>
      <c r="E9" s="8"/>
      <c r="F9" s="8"/>
      <c r="G9" s="4">
        <f>COUNTIF(первоначальная!I:I,"DeepSeek")</f>
        <v>35</v>
      </c>
    </row>
  </sheetData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8EFA-99C9-4D77-9899-019968E2890E}">
  <dimension ref="A1:E7"/>
  <sheetViews>
    <sheetView workbookViewId="0">
      <selection activeCell="E3" sqref="E3"/>
    </sheetView>
    <sheetView workbookViewId="1"/>
  </sheetViews>
  <sheetFormatPr defaultRowHeight="15" x14ac:dyDescent="0.25"/>
  <sheetData>
    <row r="1" spans="1:5" x14ac:dyDescent="0.25">
      <c r="A1" s="12" t="s">
        <v>181</v>
      </c>
      <c r="B1" s="12"/>
      <c r="C1" s="12"/>
      <c r="D1" s="12"/>
      <c r="E1" s="13" t="s">
        <v>180</v>
      </c>
    </row>
    <row r="2" spans="1:5" x14ac:dyDescent="0.25">
      <c r="A2" s="13" t="s">
        <v>57</v>
      </c>
      <c r="B2" s="13"/>
      <c r="C2" s="13"/>
      <c r="D2" s="13"/>
      <c r="E2" s="12">
        <f>COUNTIF(первоначальная!Q:Q,A2)</f>
        <v>40</v>
      </c>
    </row>
    <row r="3" spans="1:5" x14ac:dyDescent="0.25">
      <c r="A3" s="13" t="s">
        <v>58</v>
      </c>
      <c r="B3" s="13"/>
      <c r="C3" s="13"/>
      <c r="D3" s="13"/>
      <c r="E3" s="12">
        <f>COUNTIF(первоначальная!R:R,A3)</f>
        <v>34</v>
      </c>
    </row>
    <row r="4" spans="1:5" x14ac:dyDescent="0.25">
      <c r="A4" s="13" t="s">
        <v>59</v>
      </c>
      <c r="B4" s="13"/>
      <c r="C4" s="13"/>
      <c r="D4" s="13"/>
      <c r="E4" s="12">
        <f>COUNTIF(первоначальная!S:S,A4)</f>
        <v>14</v>
      </c>
    </row>
    <row r="5" spans="1:5" x14ac:dyDescent="0.25">
      <c r="A5" s="13" t="s">
        <v>60</v>
      </c>
      <c r="B5" s="13"/>
      <c r="C5" s="13"/>
      <c r="D5" s="13"/>
      <c r="E5" s="12">
        <f>COUNTIF(первоначальная!U:U,A5)</f>
        <v>22</v>
      </c>
    </row>
    <row r="6" spans="1:5" x14ac:dyDescent="0.25">
      <c r="A6" s="13" t="s">
        <v>78</v>
      </c>
      <c r="B6" s="13"/>
      <c r="C6" s="13"/>
      <c r="D6" s="13"/>
      <c r="E6" s="12">
        <f>COUNTIF(первоначальная!V:V,A6)</f>
        <v>14</v>
      </c>
    </row>
    <row r="7" spans="1:5" x14ac:dyDescent="0.25">
      <c r="A7" s="13" t="s">
        <v>87</v>
      </c>
      <c r="B7" s="13"/>
      <c r="C7" s="13"/>
      <c r="D7" s="13"/>
      <c r="E7" s="12">
        <f>COUNTIF(первоначальная!W:W,A7)</f>
        <v>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D53DC-A71B-4BD2-9238-32FEFD1595AF}">
  <dimension ref="A1:C5"/>
  <sheetViews>
    <sheetView workbookViewId="0">
      <selection activeCell="C29" sqref="C29"/>
    </sheetView>
    <sheetView workbookViewId="1"/>
  </sheetViews>
  <sheetFormatPr defaultRowHeight="15" x14ac:dyDescent="0.25"/>
  <cols>
    <col min="1" max="1" width="32.28515625" customWidth="1"/>
  </cols>
  <sheetData>
    <row r="1" spans="1:3" x14ac:dyDescent="0.25">
      <c r="A1" t="s">
        <v>183</v>
      </c>
      <c r="B1" t="s">
        <v>184</v>
      </c>
      <c r="C1" t="s">
        <v>185</v>
      </c>
    </row>
    <row r="2" spans="1:3" x14ac:dyDescent="0.25">
      <c r="A2" t="s">
        <v>187</v>
      </c>
      <c r="B2">
        <f>AVERAGE('Для шкал'!B:B)</f>
        <v>4.1707317073170733</v>
      </c>
      <c r="C2">
        <f>MEDIAN('Для шкал'!B:B)</f>
        <v>4</v>
      </c>
    </row>
    <row r="3" spans="1:3" x14ac:dyDescent="0.25">
      <c r="A3" t="s">
        <v>188</v>
      </c>
      <c r="B3">
        <f>AVERAGE('Для шкал'!C:C)</f>
        <v>3.2926829268292681</v>
      </c>
      <c r="C3">
        <f>MEDIAN('Для шкал'!C:C)</f>
        <v>3</v>
      </c>
    </row>
    <row r="4" spans="1:3" x14ac:dyDescent="0.25">
      <c r="A4" t="s">
        <v>189</v>
      </c>
      <c r="B4">
        <f>AVERAGE('Для шкал'!D:D)</f>
        <v>3.9285714285714284</v>
      </c>
      <c r="C4">
        <f>MEDIAN('Для шкал'!D:D)</f>
        <v>4</v>
      </c>
    </row>
    <row r="5" spans="1:3" x14ac:dyDescent="0.25">
      <c r="A5" t="s">
        <v>190</v>
      </c>
      <c r="B5">
        <f>AVERAGE('Для шкал'!E:E)</f>
        <v>6.7142857142857144</v>
      </c>
      <c r="C5">
        <f>MEDIAN('Для шкал'!E:E)</f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1EC8-5B2C-4CCB-B094-E4DF2AFCAD0D}">
  <dimension ref="A1:E4"/>
  <sheetViews>
    <sheetView tabSelected="1" workbookViewId="0">
      <selection activeCell="C21" sqref="C21"/>
    </sheetView>
    <sheetView workbookViewId="1"/>
  </sheetViews>
  <sheetFormatPr defaultRowHeight="15" x14ac:dyDescent="0.25"/>
  <cols>
    <col min="1" max="1" width="27" customWidth="1"/>
    <col min="2" max="2" width="18.42578125" customWidth="1"/>
    <col min="4" max="4" width="18.28515625" customWidth="1"/>
    <col min="5" max="5" width="36.42578125" customWidth="1"/>
  </cols>
  <sheetData>
    <row r="1" spans="1:5" x14ac:dyDescent="0.25">
      <c r="A1" s="16" t="s">
        <v>191</v>
      </c>
      <c r="B1" s="16" t="s">
        <v>192</v>
      </c>
      <c r="C1" s="16" t="s">
        <v>186</v>
      </c>
      <c r="D1" s="16" t="s">
        <v>193</v>
      </c>
      <c r="E1" s="16" t="s">
        <v>194</v>
      </c>
    </row>
    <row r="2" spans="1:5" x14ac:dyDescent="0.25">
      <c r="A2" s="16" t="s">
        <v>54</v>
      </c>
      <c r="B2" s="17">
        <f>AVERAGEIF('Для шкал'!$A:$A,$A$2,'Для шкал'!B:B)</f>
        <v>4.4000000000000004</v>
      </c>
      <c r="C2" s="17">
        <f>AVERAGEIF('Для шкал'!$A:$A,A2,'Для шкал'!C:C)</f>
        <v>3.28</v>
      </c>
      <c r="D2" s="17">
        <f>AVERAGEIF('Для шкал'!$A:$A,A2,'Для шкал'!D:D)</f>
        <v>3.88</v>
      </c>
      <c r="E2" s="17">
        <f>AVERAGEIF('Для шкал'!$A:$A,A2,'Для шкал'!E:E)</f>
        <v>7.2</v>
      </c>
    </row>
    <row r="3" spans="1:5" x14ac:dyDescent="0.25">
      <c r="A3" s="16" t="s">
        <v>120</v>
      </c>
      <c r="B3" s="17">
        <f>AVERAGEIF('Для шкал'!A:A,A3,'Для шкал'!B:B)</f>
        <v>3.6923076923076925</v>
      </c>
      <c r="C3" s="17">
        <f>AVERAGEIF('Для шкал'!$A:$A,A3,'Для шкал'!C:C)</f>
        <v>3.2307692307692308</v>
      </c>
      <c r="D3" s="17">
        <f>AVERAGEIF('Для шкал'!$A:$A,A3,'Для шкал'!D:D)</f>
        <v>3.7692307692307692</v>
      </c>
      <c r="E3" s="17">
        <f>AVERAGEIF('Для шкал'!$A:$A,A3,'Для шкал'!E:E)</f>
        <v>5.7692307692307692</v>
      </c>
    </row>
    <row r="4" spans="1:5" x14ac:dyDescent="0.25">
      <c r="A4" s="16" t="s">
        <v>126</v>
      </c>
      <c r="B4" s="17">
        <f>AVERAGEIF('Для шкал'!A:A,A4,'Для шкал'!B:B)</f>
        <v>4.333333333333333</v>
      </c>
      <c r="C4" s="17">
        <f>AVERAGEIF('Для шкал'!$A:$A,A4,'Для шкал'!C:C)</f>
        <v>3.6666666666666665</v>
      </c>
      <c r="D4" s="17">
        <f>AVERAGEIF('Для шкал'!$A:$A,A4,'Для шкал'!D:D)</f>
        <v>4.666666666666667</v>
      </c>
      <c r="E4" s="17">
        <f>AVERAGEIF('Для шкал'!$A:$A,A4,'Для шкал'!E:E)</f>
        <v>6.333333333333333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первоначальная</vt:lpstr>
      <vt:lpstr>Для шкал</vt:lpstr>
      <vt:lpstr>Люди</vt:lpstr>
      <vt:lpstr>Популярная нейросеть </vt:lpstr>
      <vt:lpstr>Для каких задач</vt:lpstr>
      <vt:lpstr>Шкалы</vt:lpstr>
      <vt:lpstr>Сводная по частоте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Frolov</cp:lastModifiedBy>
  <dcterms:created xsi:type="dcterms:W3CDTF">2025-12-25T16:14:05Z</dcterms:created>
  <dcterms:modified xsi:type="dcterms:W3CDTF">2025-12-25T17:28:39Z</dcterms:modified>
</cp:coreProperties>
</file>